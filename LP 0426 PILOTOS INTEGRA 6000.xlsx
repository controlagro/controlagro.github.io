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i/Downloads/"/>
    </mc:Choice>
  </mc:AlternateContent>
  <xr:revisionPtr revIDLastSave="0" documentId="13_ncr:1_{2B1172C0-1EB9-AE49-A3F9-90305527C255}" xr6:coauthVersionLast="47" xr6:coauthVersionMax="47" xr10:uidLastSave="{00000000-0000-0000-0000-000000000000}"/>
  <bookViews>
    <workbookView xWindow="14720" yWindow="660" windowWidth="14680" windowHeight="16860" xr2:uid="{00000000-000D-0000-FFFF-FFFF00000000}"/>
  </bookViews>
  <sheets>
    <sheet name="Hoja1" sheetId="3" r:id="rId1"/>
    <sheet name="Table 1" sheetId="1" r:id="rId2"/>
    <sheet name="Table 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2" i="3"/>
  <c r="B10" i="3"/>
  <c r="B9" i="3"/>
  <c r="B8" i="3"/>
  <c r="B5" i="3"/>
  <c r="B6" i="3"/>
  <c r="B7" i="3"/>
  <c r="B4" i="3"/>
  <c r="B3" i="3"/>
  <c r="B2" i="3"/>
</calcChain>
</file>

<file path=xl/sharedStrings.xml><?xml version="1.0" encoding="utf-8"?>
<sst xmlns="http://schemas.openxmlformats.org/spreadsheetml/2006/main" count="103" uniqueCount="77">
  <si>
    <r>
      <rPr>
        <b/>
        <sz val="7"/>
        <rFont val="Arial"/>
        <family val="2"/>
      </rPr>
      <t>Lista 0426</t>
    </r>
  </si>
  <si>
    <r>
      <rPr>
        <b/>
        <sz val="9.5"/>
        <rFont val="Arial"/>
        <family val="2"/>
      </rPr>
      <t xml:space="preserve">PILOTOS ControlAgro
</t>
    </r>
    <r>
      <rPr>
        <b/>
        <sz val="14"/>
        <rFont val="Arial"/>
        <family val="2"/>
      </rPr>
      <t xml:space="preserve">INTEGRA 6000 </t>
    </r>
    <r>
      <rPr>
        <b/>
        <sz val="8.5"/>
        <rFont val="Arial"/>
        <family val="2"/>
      </rPr>
      <t>c/Giro en Cabecera</t>
    </r>
  </si>
  <si>
    <r>
      <rPr>
        <b/>
        <sz val="11"/>
        <rFont val="Calibri"/>
        <family val="1"/>
      </rPr>
      <t>PILOTO AUTOMATICO c/ GIRO en CABECERA, con ANTENA ControlAgro PRECISIO-ULTRA</t>
    </r>
  </si>
  <si>
    <r>
      <rPr>
        <b/>
        <sz val="7"/>
        <rFont val="Calibri"/>
        <family val="1"/>
      </rPr>
      <t>DETALLE</t>
    </r>
  </si>
  <si>
    <r>
      <rPr>
        <b/>
        <sz val="7"/>
        <rFont val="Calibri"/>
        <family val="1"/>
      </rPr>
      <t>NETO</t>
    </r>
  </si>
  <si>
    <r>
      <rPr>
        <b/>
        <sz val="7"/>
        <rFont val="Calibri"/>
        <family val="1"/>
      </rPr>
      <t>CON IVA 10,5%</t>
    </r>
  </si>
  <si>
    <r>
      <rPr>
        <b/>
        <sz val="7"/>
        <rFont val="Calibri"/>
        <family val="1"/>
      </rPr>
      <t>Equipo piloto automático INTEGRA 6000, pantalla 10 pulg. táctil, con Giro en Cabecera,  VOLANTE con motor eléctrico y ANTENA ControlAgro PRECISIO-ULTRA con abono ANUAL (*), de 2,5 cm de PRECISION</t>
    </r>
  </si>
  <si>
    <r>
      <rPr>
        <b/>
        <sz val="7"/>
        <rFont val="Arial"/>
        <family val="2"/>
      </rPr>
      <t>(*) IMPORTANTE</t>
    </r>
    <r>
      <rPr>
        <b/>
        <sz val="6"/>
        <rFont val="Arial"/>
        <family val="2"/>
      </rPr>
      <t xml:space="preserve">: </t>
    </r>
    <r>
      <rPr>
        <b/>
        <sz val="8.5"/>
        <rFont val="Arial"/>
        <family val="2"/>
      </rPr>
      <t>SOLO EN ZONAS DE COBERTURA</t>
    </r>
  </si>
  <si>
    <r>
      <rPr>
        <b/>
        <sz val="6"/>
        <rFont val="Arial"/>
        <family val="2"/>
      </rPr>
      <t>DOLAR DE REFERENCIA: DÓLAR BILLETE BANCO NACION TIPO  VENDEDOR</t>
    </r>
  </si>
  <si>
    <r>
      <rPr>
        <sz val="7"/>
        <rFont val="Calibri"/>
        <family val="1"/>
      </rPr>
      <t>*OBSERVACIONES: EL ABONO NO TIENE COMISION.</t>
    </r>
  </si>
  <si>
    <r>
      <rPr>
        <b/>
        <sz val="7.5"/>
        <rFont val="Arial"/>
        <family val="2"/>
      </rPr>
      <t>COSTO DE SEÑAL</t>
    </r>
  </si>
  <si>
    <r>
      <rPr>
        <b/>
        <sz val="7"/>
        <rFont val="Calibri"/>
        <family val="1"/>
      </rPr>
      <t>DETALLE Y ABONOS</t>
    </r>
  </si>
  <si>
    <r>
      <rPr>
        <b/>
        <sz val="7"/>
        <rFont val="Calibri"/>
        <family val="1"/>
      </rPr>
      <t>CON IVA 21% - CONTADO</t>
    </r>
  </si>
  <si>
    <r>
      <rPr>
        <b/>
        <sz val="7"/>
        <rFont val="Calibri"/>
        <family val="1"/>
      </rPr>
      <t>Abono ANUAL: con corr. ControlAgro Precisio-Ultra de 2,5 cm. (1 año)</t>
    </r>
  </si>
  <si>
    <r>
      <rPr>
        <b/>
        <sz val="7.5"/>
        <rFont val="Calibri"/>
        <family val="1"/>
      </rPr>
      <t>USD</t>
    </r>
  </si>
  <si>
    <r>
      <rPr>
        <b/>
        <sz val="11"/>
        <rFont val="Calibri"/>
        <family val="1"/>
      </rPr>
      <t>REPUESTOS</t>
    </r>
  </si>
  <si>
    <r>
      <rPr>
        <b/>
        <sz val="7"/>
        <rFont val="Calibri"/>
        <family val="1"/>
      </rPr>
      <t>KIT ANTENA ControlAgro Precisio-Ultra con abono de 2,5 cm. por 1 año</t>
    </r>
  </si>
  <si>
    <r>
      <rPr>
        <sz val="7.5"/>
        <rFont val="Calibri"/>
        <family val="1"/>
      </rPr>
      <t>USD</t>
    </r>
  </si>
  <si>
    <r>
      <rPr>
        <b/>
        <sz val="7"/>
        <rFont val="Calibri"/>
        <family val="1"/>
      </rPr>
      <t xml:space="preserve">INSTALACION ELECT. p/ANTENA GPS NORDIAN a RS-232 de I-6000
</t>
    </r>
    <r>
      <rPr>
        <b/>
        <sz val="7"/>
        <rFont val="Calibri"/>
        <family val="1"/>
      </rPr>
      <t>Cod. 220.506</t>
    </r>
  </si>
  <si>
    <r>
      <rPr>
        <b/>
        <sz val="7"/>
        <rFont val="Calibri"/>
        <family val="1"/>
      </rPr>
      <t xml:space="preserve">INSTALACION ELECT. ADAPTADOR p/RS-232 ENTRADA DE DATOS de I-6000
</t>
    </r>
    <r>
      <rPr>
        <b/>
        <sz val="7"/>
        <rFont val="Calibri"/>
        <family val="1"/>
      </rPr>
      <t>Cod. 220.504</t>
    </r>
  </si>
  <si>
    <r>
      <rPr>
        <b/>
        <sz val="8.5"/>
        <rFont val="Calibri"/>
        <family val="1"/>
      </rPr>
      <t xml:space="preserve">FINANCIACIÓN REPUESTOS: </t>
    </r>
    <r>
      <rPr>
        <sz val="8.5"/>
        <rFont val="Calibri"/>
        <family val="1"/>
      </rPr>
      <t>HASTA 90 DÍAS EN PESOS, SIN INTERES, 4 CHEQUES DE 0, 30 60 90 DIAS EN PESOS SIN INTERES.</t>
    </r>
  </si>
  <si>
    <r>
      <rPr>
        <b/>
        <sz val="14"/>
        <rFont val="Calibri"/>
        <family val="1"/>
      </rPr>
      <t xml:space="preserve">PILOTO AUTOMATICO </t>
    </r>
    <r>
      <rPr>
        <b/>
        <sz val="11"/>
        <rFont val="Calibri"/>
        <family val="1"/>
      </rPr>
      <t xml:space="preserve">CON BASE PORTATIL  PARA </t>
    </r>
    <r>
      <rPr>
        <b/>
        <sz val="14"/>
        <rFont val="Calibri"/>
        <family val="1"/>
      </rPr>
      <t>ANTENA RTK</t>
    </r>
  </si>
  <si>
    <r>
      <rPr>
        <b/>
        <sz val="8.5"/>
        <rFont val="Calibri"/>
        <family val="1"/>
      </rPr>
      <t>DETALLE DEL EQUIPO</t>
    </r>
  </si>
  <si>
    <r>
      <rPr>
        <b/>
        <sz val="7"/>
        <rFont val="Calibri"/>
        <family val="1"/>
      </rPr>
      <t>PRECIO DE LISTA NETO</t>
    </r>
  </si>
  <si>
    <r>
      <rPr>
        <b/>
        <sz val="7"/>
        <rFont val="Calibri"/>
        <family val="1"/>
      </rPr>
      <t xml:space="preserve">PRECIO DE LISTA
</t>
    </r>
    <r>
      <rPr>
        <b/>
        <sz val="7"/>
        <rFont val="Calibri"/>
        <family val="1"/>
      </rPr>
      <t>CON IVA 10,5%</t>
    </r>
  </si>
  <si>
    <r>
      <rPr>
        <b/>
        <sz val="7"/>
        <rFont val="Calibri"/>
        <family val="1"/>
      </rPr>
      <t xml:space="preserve">Equipo piloto automático </t>
    </r>
    <r>
      <rPr>
        <b/>
        <sz val="8.5"/>
        <rFont val="Calibri"/>
        <family val="1"/>
      </rPr>
      <t>INTEGRA 6000</t>
    </r>
    <r>
      <rPr>
        <b/>
        <sz val="7"/>
        <rFont val="Calibri"/>
        <family val="1"/>
      </rPr>
      <t xml:space="preserve">, pantalla 10 pulg. táctil, con giro en cabecera,  volante con motor eléctrico, y </t>
    </r>
    <r>
      <rPr>
        <b/>
        <sz val="8.5"/>
        <rFont val="Calibri"/>
        <family val="1"/>
      </rPr>
      <t>antena con base portatil RTK</t>
    </r>
    <r>
      <rPr>
        <b/>
        <sz val="7"/>
        <rFont val="Calibri"/>
        <family val="1"/>
      </rPr>
      <t xml:space="preserve">, con precisión de </t>
    </r>
    <r>
      <rPr>
        <b/>
        <sz val="8.5"/>
        <rFont val="Calibri"/>
        <family val="1"/>
      </rPr>
      <t>2,5 cm</t>
    </r>
  </si>
  <si>
    <r>
      <rPr>
        <b/>
        <sz val="7"/>
        <rFont val="Calibri"/>
        <family val="1"/>
      </rPr>
      <t xml:space="preserve">Equipo piloto automático </t>
    </r>
    <r>
      <rPr>
        <b/>
        <sz val="7.5"/>
        <rFont val="Calibri"/>
        <family val="1"/>
      </rPr>
      <t>INTEGRA 6000</t>
    </r>
    <r>
      <rPr>
        <b/>
        <sz val="7"/>
        <rFont val="Calibri"/>
        <family val="1"/>
      </rPr>
      <t xml:space="preserve">, pantalla 10 pulg., con </t>
    </r>
    <r>
      <rPr>
        <b/>
        <sz val="7.5"/>
        <rFont val="Calibri"/>
        <family val="1"/>
      </rPr>
      <t xml:space="preserve">Giro </t>
    </r>
    <r>
      <rPr>
        <b/>
        <sz val="7"/>
        <rFont val="Calibri"/>
        <family val="1"/>
      </rPr>
      <t>en Cabecera, Antena SURVEY L1 (compatible pero sin base RTK, SIN abonos),  volante con motor eléc.</t>
    </r>
    <r>
      <rPr>
        <b/>
        <sz val="7.5"/>
        <rFont val="Calibri"/>
        <family val="1"/>
      </rPr>
      <t xml:space="preserve">, </t>
    </r>
    <r>
      <rPr>
        <b/>
        <sz val="7"/>
        <rFont val="Calibri"/>
        <family val="1"/>
      </rPr>
      <t xml:space="preserve">con </t>
    </r>
    <r>
      <rPr>
        <b/>
        <sz val="8.5"/>
        <rFont val="Calibri"/>
        <family val="1"/>
      </rPr>
      <t xml:space="preserve">señal libre </t>
    </r>
    <r>
      <rPr>
        <b/>
        <sz val="7"/>
        <rFont val="Calibri"/>
        <family val="1"/>
      </rPr>
      <t xml:space="preserve">con precisión de </t>
    </r>
    <r>
      <rPr>
        <b/>
        <sz val="8.5"/>
        <rFont val="Calibri"/>
        <family val="1"/>
      </rPr>
      <t>15 cm</t>
    </r>
  </si>
  <si>
    <r>
      <rPr>
        <b/>
        <sz val="7"/>
        <rFont val="Calibri"/>
        <family val="1"/>
      </rPr>
      <t xml:space="preserve">DETALLE del </t>
    </r>
    <r>
      <rPr>
        <b/>
        <sz val="9.5"/>
        <rFont val="Calibri"/>
        <family val="1"/>
      </rPr>
      <t>BANDERILLERO INTEGRA 6000</t>
    </r>
  </si>
  <si>
    <r>
      <rPr>
        <sz val="7"/>
        <rFont val="Calibri"/>
        <family val="1"/>
      </rPr>
      <t>NETO</t>
    </r>
  </si>
  <si>
    <r>
      <rPr>
        <sz val="7"/>
        <rFont val="Calibri"/>
        <family val="1"/>
      </rPr>
      <t>CON IVA 10,5%</t>
    </r>
  </si>
  <si>
    <r>
      <rPr>
        <b/>
        <sz val="8.5"/>
        <rFont val="Calibri"/>
        <family val="1"/>
      </rPr>
      <t xml:space="preserve">Equipo BANDERILLERO con pantalla 10 pulg. </t>
    </r>
    <r>
      <rPr>
        <b/>
        <sz val="7"/>
        <rFont val="Calibri"/>
        <family val="1"/>
      </rPr>
      <t>táctil mapeado</t>
    </r>
    <r>
      <rPr>
        <b/>
        <sz val="8.5"/>
        <rFont val="Calibri"/>
        <family val="1"/>
      </rPr>
      <t xml:space="preserve">r </t>
    </r>
    <r>
      <rPr>
        <b/>
        <sz val="7"/>
        <rFont val="Calibri"/>
        <family val="1"/>
      </rPr>
      <t xml:space="preserve">con antena
</t>
    </r>
    <r>
      <rPr>
        <b/>
        <sz val="7"/>
        <rFont val="Calibri"/>
        <family val="1"/>
      </rPr>
      <t>de 10 hertz, apto para agregar futuro Piloto automático con Antena RTK o con Ant. Novatel con Abono, Cortes por Surco o monitor de siembra con dosis variable.</t>
    </r>
  </si>
  <si>
    <r>
      <rPr>
        <b/>
        <sz val="8.5"/>
        <rFont val="Arial"/>
        <family val="2"/>
      </rPr>
      <t>REPUESTOS</t>
    </r>
  </si>
  <si>
    <r>
      <rPr>
        <b/>
        <sz val="7"/>
        <rFont val="Calibri"/>
        <family val="1"/>
      </rPr>
      <t>KIT ADICIONAL CABLES PILOTO INTEGRA 6000</t>
    </r>
  </si>
  <si>
    <r>
      <rPr>
        <sz val="7"/>
        <rFont val="Calibri"/>
        <family val="1"/>
      </rPr>
      <t>CON IVA 21%</t>
    </r>
  </si>
  <si>
    <r>
      <rPr>
        <b/>
        <sz val="7"/>
        <rFont val="Calibri"/>
        <family val="1"/>
      </rPr>
      <t>KIT PARA PODER TRASLADAR EL PILOTO A UN SEGUNDO TRACTOR, COSECHADORA O PULVERIZADORA.</t>
    </r>
  </si>
  <si>
    <r>
      <rPr>
        <b/>
        <sz val="11"/>
        <rFont val="Calibri"/>
        <family val="1"/>
      </rPr>
      <t>FORMAS DE PAGO : para Pilotos con antena SURVEY y PRECISIO ULTRA</t>
    </r>
  </si>
  <si>
    <r>
      <rPr>
        <sz val="8.5"/>
        <rFont val="Calibri"/>
        <family val="1"/>
      </rPr>
      <t xml:space="preserve">* </t>
    </r>
    <r>
      <rPr>
        <b/>
        <sz val="8.5"/>
        <rFont val="Calibri"/>
        <family val="1"/>
      </rPr>
      <t xml:space="preserve">CONTADO: 10% DESCUENTO </t>
    </r>
    <r>
      <rPr>
        <sz val="8.5"/>
        <rFont val="Calibri"/>
        <family val="1"/>
      </rPr>
      <t>SOBRE PRECIO DE LISTA</t>
    </r>
  </si>
  <si>
    <r>
      <rPr>
        <sz val="8.5"/>
        <rFont val="Calibri"/>
        <family val="1"/>
      </rPr>
      <t xml:space="preserve">* </t>
    </r>
    <r>
      <rPr>
        <b/>
        <sz val="8.5"/>
        <rFont val="Calibri"/>
        <family val="1"/>
      </rPr>
      <t xml:space="preserve">FINANCIACIÓN 180, </t>
    </r>
    <r>
      <rPr>
        <sz val="8.5"/>
        <rFont val="Calibri"/>
        <family val="1"/>
      </rPr>
      <t xml:space="preserve">EN PESOS, 7 </t>
    </r>
    <r>
      <rPr>
        <b/>
        <sz val="8.5"/>
        <rFont val="Calibri"/>
        <family val="1"/>
      </rPr>
      <t xml:space="preserve">CHEQUES a 0, 30 60 90 120 150 180 DIAS EN PESOS </t>
    </r>
    <r>
      <rPr>
        <sz val="8.5"/>
        <rFont val="Calibri"/>
        <family val="1"/>
      </rPr>
      <t>SIN INTERES.</t>
    </r>
  </si>
  <si>
    <r>
      <rPr>
        <sz val="8.5"/>
        <rFont val="Calibri"/>
        <family val="1"/>
      </rPr>
      <t xml:space="preserve">* </t>
    </r>
    <r>
      <rPr>
        <b/>
        <sz val="8.5"/>
        <rFont val="Calibri"/>
        <family val="1"/>
      </rPr>
      <t xml:space="preserve">FINANCIACIÓN 360*, </t>
    </r>
    <r>
      <rPr>
        <sz val="8.5"/>
        <rFont val="Calibri"/>
        <family val="1"/>
      </rPr>
      <t xml:space="preserve">EN PESOS, ANTICIPO 30% (contado) y 12 </t>
    </r>
    <r>
      <rPr>
        <b/>
        <sz val="8.5"/>
        <rFont val="Calibri"/>
        <family val="1"/>
      </rPr>
      <t xml:space="preserve">CHEQUES a  30 60 90 120 ... hasta … 330 360 DIAS </t>
    </r>
    <r>
      <rPr>
        <sz val="8.5"/>
        <rFont val="Calibri"/>
        <family val="1"/>
      </rPr>
      <t>SIN INTERES.</t>
    </r>
  </si>
  <si>
    <r>
      <rPr>
        <b/>
        <sz val="11"/>
        <rFont val="Calibri"/>
        <family val="1"/>
      </rPr>
      <t>FINANCIACIÓN EN DOLARES AJUSTABLE:  para Pilotos con antena SURVEY y PRECISIO ULTRA</t>
    </r>
  </si>
  <si>
    <r>
      <rPr>
        <b/>
        <sz val="7.5"/>
        <rFont val="Calibri"/>
        <family val="1"/>
      </rPr>
      <t xml:space="preserve">*FINANCIACIÓN </t>
    </r>
    <r>
      <rPr>
        <sz val="7.5"/>
        <rFont val="Calibri"/>
        <family val="1"/>
      </rPr>
      <t xml:space="preserve">A CAMPAÑA con DOS </t>
    </r>
    <r>
      <rPr>
        <b/>
        <sz val="7.5"/>
        <rFont val="Calibri"/>
        <family val="1"/>
      </rPr>
      <t xml:space="preserve">CHEQUES  </t>
    </r>
    <r>
      <rPr>
        <sz val="7.5"/>
        <rFont val="Calibri"/>
        <family val="1"/>
      </rPr>
      <t>A 180 Y 360 DIAS, AJUSTABLES.</t>
    </r>
  </si>
  <si>
    <r>
      <rPr>
        <b/>
        <sz val="7.5"/>
        <rFont val="Calibri"/>
        <family val="1"/>
      </rPr>
      <t xml:space="preserve">*FINANCIACIÓN </t>
    </r>
    <r>
      <rPr>
        <sz val="7.5"/>
        <rFont val="Calibri"/>
        <family val="1"/>
      </rPr>
      <t xml:space="preserve">con </t>
    </r>
    <r>
      <rPr>
        <b/>
        <sz val="7.5"/>
        <rFont val="Calibri"/>
        <family val="1"/>
      </rPr>
      <t>ANTICIPO 25%</t>
    </r>
    <r>
      <rPr>
        <sz val="7.5"/>
        <rFont val="Calibri"/>
        <family val="1"/>
      </rPr>
      <t xml:space="preserve">, </t>
    </r>
    <r>
      <rPr>
        <b/>
        <sz val="7.5"/>
        <rFont val="Calibri"/>
        <family val="1"/>
      </rPr>
      <t xml:space="preserve">y </t>
    </r>
    <r>
      <rPr>
        <sz val="7.5"/>
        <rFont val="Calibri"/>
        <family val="1"/>
      </rPr>
      <t xml:space="preserve">SALDO EN </t>
    </r>
    <r>
      <rPr>
        <b/>
        <sz val="7.5"/>
        <rFont val="Calibri"/>
        <family val="1"/>
      </rPr>
      <t xml:space="preserve">11 CHEQUES </t>
    </r>
    <r>
      <rPr>
        <sz val="7.5"/>
        <rFont val="Calibri"/>
        <family val="1"/>
      </rPr>
      <t>AJUSTABLES, QUE SERIAN DESDE 30, 60,..hasta..., 330, 360 DIAS.</t>
    </r>
  </si>
  <si>
    <r>
      <rPr>
        <sz val="7.5"/>
        <rFont val="Calibri"/>
        <family val="1"/>
      </rPr>
      <t xml:space="preserve">*Mediante </t>
    </r>
    <r>
      <rPr>
        <b/>
        <sz val="7.5"/>
        <rFont val="Calibri"/>
        <family val="1"/>
      </rPr>
      <t>CANJE CEREAL con AGROCANJE PILOTO con RTK</t>
    </r>
    <r>
      <rPr>
        <sz val="7.5"/>
        <rFont val="Calibri"/>
        <family val="1"/>
      </rPr>
      <t xml:space="preserve">:  </t>
    </r>
    <r>
      <rPr>
        <b/>
        <sz val="7.5"/>
        <rFont val="Calibri"/>
        <family val="1"/>
      </rPr>
      <t xml:space="preserve">ANTICIPO DEL 30 % </t>
    </r>
    <r>
      <rPr>
        <sz val="7.5"/>
        <rFont val="Calibri"/>
        <family val="1"/>
      </rPr>
      <t xml:space="preserve">EN $$, Y </t>
    </r>
    <r>
      <rPr>
        <b/>
        <sz val="7.5"/>
        <rFont val="Calibri"/>
        <family val="1"/>
      </rPr>
      <t xml:space="preserve">2 ENTREGAS DE CEREAL </t>
    </r>
    <r>
      <rPr>
        <sz val="7.5"/>
        <rFont val="Calibri"/>
        <family val="1"/>
      </rPr>
      <t>A 6 Y 12 MESES.</t>
    </r>
  </si>
  <si>
    <r>
      <rPr>
        <b/>
        <sz val="11"/>
        <rFont val="Calibri"/>
        <family val="1"/>
      </rPr>
      <t>FORMAS DE PAGO : para BANDERILLERO y REPUESTOS</t>
    </r>
  </si>
  <si>
    <r>
      <rPr>
        <sz val="8.5"/>
        <rFont val="Calibri"/>
        <family val="1"/>
      </rPr>
      <t xml:space="preserve">* </t>
    </r>
    <r>
      <rPr>
        <b/>
        <sz val="8.5"/>
        <rFont val="Calibri"/>
        <family val="1"/>
      </rPr>
      <t xml:space="preserve">CONTADO: 10% DESCUENTO </t>
    </r>
    <r>
      <rPr>
        <sz val="8.5"/>
        <rFont val="Calibri"/>
        <family val="1"/>
      </rPr>
      <t>SOBRE PRECIO DE LISTA para BANDERILLERO SOLAMENTE</t>
    </r>
  </si>
  <si>
    <r>
      <rPr>
        <sz val="8.5"/>
        <rFont val="Calibri"/>
        <family val="1"/>
      </rPr>
      <t xml:space="preserve">* </t>
    </r>
    <r>
      <rPr>
        <b/>
        <sz val="8.5"/>
        <rFont val="Calibri"/>
        <family val="1"/>
      </rPr>
      <t xml:space="preserve">FINANCIACIÓN 180, </t>
    </r>
    <r>
      <rPr>
        <sz val="8.5"/>
        <rFont val="Calibri"/>
        <family val="1"/>
      </rPr>
      <t xml:space="preserve">EN PESOS, 7 </t>
    </r>
    <r>
      <rPr>
        <b/>
        <sz val="8.5"/>
        <rFont val="Calibri"/>
        <family val="1"/>
      </rPr>
      <t xml:space="preserve">CHEQUES a 0, 30 60 90 120 150 180 DIAS EN PESOS </t>
    </r>
    <r>
      <rPr>
        <sz val="8.5"/>
        <rFont val="Calibri"/>
        <family val="1"/>
      </rPr>
      <t xml:space="preserve">SIN INTERES, </t>
    </r>
    <r>
      <rPr>
        <sz val="7"/>
        <rFont val="Calibri"/>
        <family val="1"/>
      </rPr>
      <t xml:space="preserve">(para </t>
    </r>
    <r>
      <rPr>
        <b/>
        <sz val="7"/>
        <rFont val="Calibri"/>
        <family val="1"/>
      </rPr>
      <t xml:space="preserve">BANDERILLERO </t>
    </r>
    <r>
      <rPr>
        <sz val="7"/>
        <rFont val="Calibri"/>
        <family val="1"/>
      </rPr>
      <t>SOLAMENTE)</t>
    </r>
  </si>
  <si>
    <r>
      <rPr>
        <sz val="8.5"/>
        <rFont val="Calibri"/>
        <family val="1"/>
      </rPr>
      <t xml:space="preserve">* </t>
    </r>
    <r>
      <rPr>
        <b/>
        <sz val="8.5"/>
        <rFont val="Calibri"/>
        <family val="1"/>
      </rPr>
      <t xml:space="preserve">FINANCIACIÓN REPUESTOS*, </t>
    </r>
    <r>
      <rPr>
        <sz val="8.5"/>
        <rFont val="Calibri"/>
        <family val="1"/>
      </rPr>
      <t xml:space="preserve">EN PESOS, 4 </t>
    </r>
    <r>
      <rPr>
        <b/>
        <sz val="8.5"/>
        <rFont val="Calibri"/>
        <family val="1"/>
      </rPr>
      <t xml:space="preserve">CHEQUES a  0 30 60 90 DIAS </t>
    </r>
    <r>
      <rPr>
        <sz val="8.5"/>
        <rFont val="Calibri"/>
        <family val="1"/>
      </rPr>
      <t>SIN INTERES.</t>
    </r>
  </si>
  <si>
    <r>
      <rPr>
        <b/>
        <sz val="14"/>
        <rFont val="Calibri"/>
        <family val="1"/>
      </rPr>
      <t xml:space="preserve">PILOTO AUTOMATICO </t>
    </r>
    <r>
      <rPr>
        <b/>
        <sz val="11"/>
        <rFont val="Calibri"/>
        <family val="1"/>
      </rPr>
      <t xml:space="preserve">CON ANTENA </t>
    </r>
    <r>
      <rPr>
        <b/>
        <sz val="14"/>
        <rFont val="Calibri"/>
        <family val="1"/>
      </rPr>
      <t xml:space="preserve">NOVATEL </t>
    </r>
    <r>
      <rPr>
        <b/>
        <sz val="11"/>
        <rFont val="Calibri"/>
        <family val="1"/>
      </rPr>
      <t>CON ABONO DE PRECISION</t>
    </r>
  </si>
  <si>
    <r>
      <rPr>
        <b/>
        <sz val="7"/>
        <rFont val="Calibri"/>
        <family val="1"/>
      </rPr>
      <t>DETALLE DE LA ACTIVACION Y ABONOS</t>
    </r>
  </si>
  <si>
    <r>
      <rPr>
        <b/>
        <sz val="7"/>
        <rFont val="Calibri"/>
        <family val="1"/>
      </rPr>
      <t xml:space="preserve">Equipo piloto automático </t>
    </r>
    <r>
      <rPr>
        <b/>
        <sz val="8.5"/>
        <rFont val="Calibri"/>
        <family val="1"/>
      </rPr>
      <t>INTEGRA 6000</t>
    </r>
    <r>
      <rPr>
        <b/>
        <sz val="7"/>
        <rFont val="Calibri"/>
        <family val="1"/>
      </rPr>
      <t xml:space="preserve">, pantalla 10 pulg. táctil, con Giro en
</t>
    </r>
    <r>
      <rPr>
        <b/>
        <sz val="7"/>
        <rFont val="Calibri"/>
        <family val="1"/>
      </rPr>
      <t xml:space="preserve">Cabecera,  volante con motor eléctrico y antena NOVATEL L1-L2 con </t>
    </r>
    <r>
      <rPr>
        <b/>
        <sz val="8.5"/>
        <rFont val="Calibri"/>
        <family val="1"/>
      </rPr>
      <t xml:space="preserve">señal libre
</t>
    </r>
    <r>
      <rPr>
        <b/>
        <sz val="7"/>
        <rFont val="Calibri"/>
        <family val="1"/>
      </rPr>
      <t xml:space="preserve">de </t>
    </r>
    <r>
      <rPr>
        <b/>
        <sz val="8.5"/>
        <rFont val="Calibri"/>
        <family val="1"/>
      </rPr>
      <t>15 cm</t>
    </r>
  </si>
  <si>
    <r>
      <rPr>
        <b/>
        <sz val="7"/>
        <rFont val="Calibri"/>
        <family val="1"/>
      </rPr>
      <t xml:space="preserve">Equipo piloto automático INTEGRA 6000, pantalla 10 pulg. táctil, con Giro en Cabecera,  volante con motor eléctrico y antena NOVATEL L1-L2 </t>
    </r>
    <r>
      <rPr>
        <b/>
        <sz val="7.5"/>
        <rFont val="Calibri"/>
        <family val="1"/>
      </rPr>
      <t xml:space="preserve">con
</t>
    </r>
    <r>
      <rPr>
        <b/>
        <sz val="7.5"/>
        <rFont val="Calibri"/>
        <family val="1"/>
      </rPr>
      <t xml:space="preserve">ACTIVACION, </t>
    </r>
    <r>
      <rPr>
        <b/>
        <sz val="8.5"/>
        <rFont val="Calibri"/>
        <family val="1"/>
      </rPr>
      <t>SIN abono</t>
    </r>
    <r>
      <rPr>
        <b/>
        <sz val="7"/>
        <rFont val="Calibri"/>
        <family val="1"/>
      </rPr>
      <t xml:space="preserve">, con </t>
    </r>
    <r>
      <rPr>
        <b/>
        <sz val="8.5"/>
        <rFont val="Calibri"/>
        <family val="1"/>
      </rPr>
      <t xml:space="preserve">15 </t>
    </r>
    <r>
      <rPr>
        <b/>
        <sz val="7"/>
        <rFont val="Calibri"/>
        <family val="1"/>
      </rPr>
      <t>CM de PRECISION</t>
    </r>
  </si>
  <si>
    <r>
      <rPr>
        <b/>
        <sz val="7"/>
        <rFont val="Calibri"/>
        <family val="1"/>
      </rPr>
      <t xml:space="preserve">Equipo piloto automático INTEGRA 6000, pantalla 10 pulg. táctil, con Giro en Cabecera,  volante con motor eléctrico y Antena NOVATEL L1-L2 </t>
    </r>
    <r>
      <rPr>
        <b/>
        <sz val="7.5"/>
        <rFont val="Calibri"/>
        <family val="1"/>
      </rPr>
      <t xml:space="preserve">con
</t>
    </r>
    <r>
      <rPr>
        <b/>
        <sz val="7.5"/>
        <rFont val="Calibri"/>
        <family val="1"/>
      </rPr>
      <t xml:space="preserve">ACTIVACION y  </t>
    </r>
    <r>
      <rPr>
        <b/>
        <sz val="8.5"/>
        <rFont val="Calibri"/>
        <family val="1"/>
      </rPr>
      <t xml:space="preserve">ABONO TRIMESTRAL </t>
    </r>
    <r>
      <rPr>
        <b/>
        <sz val="7"/>
        <rFont val="Calibri"/>
        <family val="1"/>
      </rPr>
      <t xml:space="preserve">con </t>
    </r>
    <r>
      <rPr>
        <b/>
        <sz val="8.5"/>
        <rFont val="Calibri"/>
        <family val="1"/>
      </rPr>
      <t xml:space="preserve">2,5 </t>
    </r>
    <r>
      <rPr>
        <b/>
        <sz val="7"/>
        <rFont val="Calibri"/>
        <family val="1"/>
      </rPr>
      <t>CM de PRECISION</t>
    </r>
  </si>
  <si>
    <r>
      <rPr>
        <b/>
        <sz val="7"/>
        <rFont val="Calibri"/>
        <family val="1"/>
      </rPr>
      <t xml:space="preserve">Equipo piloto automático INTEGRA 6000, pantalla 10 pulg. táctil, con Giro en Cabecera,  volante con motor eléctrico y antena NOVATEL L1-L2 con </t>
    </r>
    <r>
      <rPr>
        <b/>
        <sz val="7.5"/>
        <rFont val="Calibri"/>
        <family val="1"/>
      </rPr>
      <t xml:space="preserve">ACTIVACION
</t>
    </r>
    <r>
      <rPr>
        <b/>
        <sz val="7"/>
        <rFont val="Calibri"/>
        <family val="1"/>
      </rPr>
      <t xml:space="preserve">y </t>
    </r>
    <r>
      <rPr>
        <b/>
        <sz val="8.5"/>
        <rFont val="Calibri"/>
        <family val="1"/>
      </rPr>
      <t xml:space="preserve">ABONO ANUAL </t>
    </r>
    <r>
      <rPr>
        <b/>
        <sz val="7"/>
        <rFont val="Calibri"/>
        <family val="1"/>
      </rPr>
      <t xml:space="preserve">con </t>
    </r>
    <r>
      <rPr>
        <b/>
        <sz val="8.5"/>
        <rFont val="Calibri"/>
        <family val="1"/>
      </rPr>
      <t xml:space="preserve">2,5 </t>
    </r>
    <r>
      <rPr>
        <b/>
        <sz val="7"/>
        <rFont val="Calibri"/>
        <family val="1"/>
      </rPr>
      <t>CM de PRECISION</t>
    </r>
  </si>
  <si>
    <r>
      <rPr>
        <sz val="7"/>
        <rFont val="Calibri"/>
        <family val="1"/>
      </rPr>
      <t>*OBSERVACIONES: LAS ACTIVACIONES Y ABONOS NO TIENEN COMISIONES.</t>
    </r>
  </si>
  <si>
    <r>
      <rPr>
        <b/>
        <sz val="7.5"/>
        <rFont val="Arial"/>
        <family val="2"/>
      </rPr>
      <t>COSTO DE SEÑAL TERRESTAR C</t>
    </r>
  </si>
  <si>
    <r>
      <rPr>
        <b/>
        <sz val="7"/>
        <rFont val="Arial"/>
        <family val="2"/>
      </rPr>
      <t>DETALLE DE LA ACTIVACION Y ABONOS</t>
    </r>
  </si>
  <si>
    <r>
      <rPr>
        <b/>
        <sz val="7"/>
        <rFont val="Arial"/>
        <family val="2"/>
      </rPr>
      <t>NETO</t>
    </r>
  </si>
  <si>
    <r>
      <rPr>
        <b/>
        <sz val="7"/>
        <rFont val="Arial"/>
        <family val="2"/>
      </rPr>
      <t>CON IVA 21%</t>
    </r>
  </si>
  <si>
    <r>
      <rPr>
        <b/>
        <sz val="7"/>
        <rFont val="Calibri"/>
        <family val="1"/>
      </rPr>
      <t>Abono ANUAL: con corr. TERRASTAR C PRO de 2,5 cm. por 1 año</t>
    </r>
  </si>
  <si>
    <r>
      <rPr>
        <b/>
        <sz val="7"/>
        <rFont val="Calibri"/>
        <family val="1"/>
      </rPr>
      <t>Abono TRIMESTRAL: con corr. TERRASTAR C PRO de 2,5 cm. por 3 meses</t>
    </r>
  </si>
  <si>
    <r>
      <rPr>
        <b/>
        <sz val="7"/>
        <rFont val="Calibri"/>
        <family val="1"/>
      </rPr>
      <t>ACTIVACION de la ANTENA NOVATEL para TERRASTAR C PRO (unica vez)</t>
    </r>
  </si>
  <si>
    <r>
      <rPr>
        <b/>
        <sz val="11"/>
        <rFont val="Calibri"/>
        <family val="1"/>
      </rPr>
      <t>FORMAS DE PAGO : para Pilotos</t>
    </r>
  </si>
  <si>
    <r>
      <rPr>
        <b/>
        <sz val="11"/>
        <rFont val="Calibri"/>
        <family val="1"/>
      </rPr>
      <t>FINANCIACIÓN EN DOLARES AJUSTABLE: excepto Banderilleros</t>
    </r>
  </si>
  <si>
    <r>
      <rPr>
        <sz val="8.5"/>
        <rFont val="Calibri"/>
        <family val="1"/>
      </rPr>
      <t xml:space="preserve">*Mediante </t>
    </r>
    <r>
      <rPr>
        <b/>
        <sz val="7.5"/>
        <rFont val="Calibri"/>
        <family val="1"/>
      </rPr>
      <t>CANJE CEREAL con AGROCANJE PILOTO con RTK</t>
    </r>
    <r>
      <rPr>
        <sz val="7.5"/>
        <rFont val="Calibri"/>
        <family val="1"/>
      </rPr>
      <t xml:space="preserve">:  </t>
    </r>
    <r>
      <rPr>
        <b/>
        <sz val="7.5"/>
        <rFont val="Calibri"/>
        <family val="1"/>
      </rPr>
      <t xml:space="preserve">ANTICIPO DEL 30 % </t>
    </r>
    <r>
      <rPr>
        <sz val="7.5"/>
        <rFont val="Calibri"/>
        <family val="1"/>
      </rPr>
      <t xml:space="preserve">EN $$, Y </t>
    </r>
    <r>
      <rPr>
        <b/>
        <sz val="7.5"/>
        <rFont val="Calibri"/>
        <family val="1"/>
      </rPr>
      <t xml:space="preserve">2 ENTREGAS DE CEREAL </t>
    </r>
    <r>
      <rPr>
        <sz val="7.5"/>
        <rFont val="Calibri"/>
        <family val="1"/>
      </rPr>
      <t>A 6 Y 12 MESES.</t>
    </r>
  </si>
  <si>
    <t>Tipo de activación y abono</t>
  </si>
  <si>
    <t>Precio</t>
  </si>
  <si>
    <t>ANTENA ControlAgro PRECISIO-ULTRA con abono ANUAL de 2,5 cm de PRECISION</t>
  </si>
  <si>
    <t>Abono ANUAL: con corr. ControlAgro Precisio-Ultra de 2,5 cm.</t>
  </si>
  <si>
    <t>Antena NOVATEL L1-L2 Señal libre de 15 cm</t>
  </si>
  <si>
    <t>Antena NOVATEL L1-L2 ACTIVACIÓN SIN abono 15 CM</t>
  </si>
  <si>
    <t>Antena NOVATEL L1-L2 ACTIVACIÓN y ABONO TRIMESTRAL 2,5 CM</t>
  </si>
  <si>
    <t>Antena NOVATEL L1-L2 ACTIVACIÓN y ABONO ANUAL 2,5 CM</t>
  </si>
  <si>
    <t>SURVEY L1 CON base portátil RTK</t>
  </si>
  <si>
    <t>SURVEY L1 SIN base portátil RTK</t>
  </si>
  <si>
    <t>Abono ANUAL: con corr. TERRASTAR C PRO de 2,5 cm.</t>
  </si>
  <si>
    <t>Abono TRIMESTRAL: con corr. TERRASTAR C PRO de 2,5 cm.</t>
  </si>
  <si>
    <t>ACTIVACION de la ANTENA NOVATEL para TERRASTAR C PRO (única vez)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</si>
</sst>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USD]\ #,##0"/>
    <numFmt numFmtId="165" formatCode="[$USD]\ 0"/>
  </numFmts>
  <fonts count="25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b/>
      <sz val="11"/>
      <name val="Calibri"/>
      <family val="2"/>
    </font>
    <font>
      <b/>
      <sz val="7"/>
      <name val="Calibri"/>
      <family val="2"/>
    </font>
    <font>
      <sz val="7.5"/>
      <color rgb="FF000000"/>
      <name val="Calibri"/>
      <family val="2"/>
    </font>
    <font>
      <b/>
      <sz val="7.5"/>
      <color rgb="FF000000"/>
      <name val="Calibri"/>
      <family val="2"/>
    </font>
    <font>
      <b/>
      <sz val="6"/>
      <name val="Arial"/>
      <family val="2"/>
    </font>
    <font>
      <sz val="7"/>
      <name val="Calibri"/>
      <family val="2"/>
    </font>
    <font>
      <b/>
      <sz val="7.5"/>
      <name val="Arial"/>
      <family val="2"/>
    </font>
    <font>
      <b/>
      <sz val="7.5"/>
      <name val="Calibri"/>
      <family val="2"/>
    </font>
    <font>
      <sz val="7.5"/>
      <name val="Calibri"/>
      <family val="2"/>
    </font>
    <font>
      <b/>
      <sz val="8.5"/>
      <name val="Calibri"/>
      <family val="2"/>
    </font>
    <font>
      <b/>
      <sz val="8.5"/>
      <name val="Arial"/>
      <family val="2"/>
    </font>
    <font>
      <b/>
      <sz val="9.5"/>
      <name val="Arial"/>
      <family val="2"/>
    </font>
    <font>
      <b/>
      <sz val="14"/>
      <name val="Arial"/>
      <family val="2"/>
    </font>
    <font>
      <b/>
      <sz val="11"/>
      <name val="Calibri"/>
      <family val="1"/>
    </font>
    <font>
      <b/>
      <sz val="7"/>
      <name val="Calibri"/>
      <family val="1"/>
    </font>
    <font>
      <sz val="7"/>
      <name val="Calibri"/>
      <family val="1"/>
    </font>
    <font>
      <b/>
      <sz val="7.5"/>
      <name val="Calibri"/>
      <family val="1"/>
    </font>
    <font>
      <sz val="7.5"/>
      <name val="Calibri"/>
      <family val="1"/>
    </font>
    <font>
      <b/>
      <sz val="8.5"/>
      <name val="Calibri"/>
      <family val="1"/>
    </font>
    <font>
      <sz val="8.5"/>
      <name val="Calibri"/>
      <family val="1"/>
    </font>
    <font>
      <b/>
      <sz val="14"/>
      <name val="Calibri"/>
      <family val="1"/>
    </font>
    <font>
      <b/>
      <sz val="9.5"/>
      <name val="Calibri"/>
      <family val="1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4C5E7"/>
      </patternFill>
    </fill>
    <fill>
      <patternFill patternType="solid">
        <fgColor rgb="FFD9E0F1"/>
      </patternFill>
    </fill>
    <fill>
      <patternFill patternType="solid">
        <fgColor rgb="FFFFE699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9" fillId="0" borderId="3" xfId="0" applyFont="1" applyBorder="1" applyAlignment="1">
      <alignment horizontal="left" vertical="top" wrapText="1"/>
    </xf>
    <xf numFmtId="1" fontId="5" fillId="0" borderId="4" xfId="0" applyNumberFormat="1" applyFont="1" applyBorder="1" applyAlignment="1">
      <alignment horizontal="right" vertical="top" shrinkToFit="1"/>
    </xf>
    <xf numFmtId="0" fontId="10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shrinkToFit="1"/>
    </xf>
    <xf numFmtId="3" fontId="5" fillId="0" borderId="4" xfId="0" applyNumberFormat="1" applyFont="1" applyBorder="1" applyAlignment="1">
      <alignment horizontal="right" vertical="top" shrinkToFit="1"/>
    </xf>
    <xf numFmtId="1" fontId="4" fillId="0" borderId="4" xfId="0" applyNumberFormat="1" applyFont="1" applyBorder="1" applyAlignment="1">
      <alignment horizontal="right" vertical="top" shrinkToFit="1"/>
    </xf>
    <xf numFmtId="2" fontId="5" fillId="0" borderId="4" xfId="0" applyNumberFormat="1" applyFont="1" applyBorder="1" applyAlignment="1">
      <alignment horizontal="right" vertical="top" shrinkToFit="1"/>
    </xf>
    <xf numFmtId="0" fontId="3" fillId="5" borderId="2" xfId="0" applyFont="1" applyFill="1" applyBorder="1" applyAlignment="1">
      <alignment horizontal="left" vertical="top" wrapText="1" indent="8"/>
    </xf>
    <xf numFmtId="0" fontId="0" fillId="5" borderId="2" xfId="0" applyFill="1" applyBorder="1" applyAlignment="1">
      <alignment horizontal="left" vertical="top" wrapText="1"/>
    </xf>
    <xf numFmtId="0" fontId="6" fillId="0" borderId="5" xfId="0" applyFont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top" wrapText="1" indent="7"/>
    </xf>
    <xf numFmtId="0" fontId="3" fillId="5" borderId="2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top" wrapText="1" indent="5"/>
    </xf>
    <xf numFmtId="0" fontId="3" fillId="2" borderId="4" xfId="0" applyFont="1" applyFill="1" applyBorder="1" applyAlignment="1">
      <alignment horizontal="left" vertical="top" wrapText="1" indent="5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164" fontId="4" fillId="0" borderId="3" xfId="0" applyNumberFormat="1" applyFont="1" applyBorder="1" applyAlignment="1">
      <alignment horizontal="center" vertical="top" shrinkToFit="1"/>
    </xf>
    <xf numFmtId="164" fontId="4" fillId="0" borderId="4" xfId="0" applyNumberFormat="1" applyFont="1" applyBorder="1" applyAlignment="1">
      <alignment horizontal="center" vertical="top" shrinkToFit="1"/>
    </xf>
    <xf numFmtId="164" fontId="5" fillId="0" borderId="3" xfId="0" applyNumberFormat="1" applyFont="1" applyBorder="1" applyAlignment="1">
      <alignment horizontal="center" vertical="top" shrinkToFit="1"/>
    </xf>
    <xf numFmtId="164" fontId="5" fillId="0" borderId="4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top" wrapText="1" indent="3"/>
    </xf>
    <xf numFmtId="0" fontId="3" fillId="2" borderId="4" xfId="0" applyFont="1" applyFill="1" applyBorder="1" applyAlignment="1">
      <alignment horizontal="left" vertical="top" wrapText="1" indent="3"/>
    </xf>
    <xf numFmtId="165" fontId="4" fillId="0" borderId="3" xfId="0" applyNumberFormat="1" applyFont="1" applyBorder="1" applyAlignment="1">
      <alignment horizontal="center" vertical="top" shrinkToFit="1"/>
    </xf>
    <xf numFmtId="165" fontId="4" fillId="0" borderId="4" xfId="0" applyNumberFormat="1" applyFont="1" applyBorder="1" applyAlignment="1">
      <alignment horizontal="center" vertical="top" shrinkToFit="1"/>
    </xf>
    <xf numFmtId="0" fontId="2" fillId="0" borderId="6" xfId="0" applyFont="1" applyBorder="1" applyAlignment="1">
      <alignment horizontal="left" vertical="center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1" fillId="3" borderId="3" xfId="0" applyFont="1" applyFill="1" applyBorder="1" applyAlignment="1">
      <alignment horizontal="center" vertical="top" wrapText="1"/>
    </xf>
    <xf numFmtId="0" fontId="11" fillId="3" borderId="4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left" vertical="top" wrapText="1" indent="4"/>
    </xf>
    <xf numFmtId="0" fontId="3" fillId="3" borderId="4" xfId="0" applyFont="1" applyFill="1" applyBorder="1" applyAlignment="1">
      <alignment horizontal="left" vertical="top" wrapText="1" indent="4"/>
    </xf>
    <xf numFmtId="0" fontId="0" fillId="3" borderId="3" xfId="0" applyFill="1" applyBorder="1" applyAlignment="1">
      <alignment horizontal="left" vertical="top" wrapText="1" indent="5"/>
    </xf>
    <xf numFmtId="0" fontId="0" fillId="3" borderId="4" xfId="0" applyFill="1" applyBorder="1" applyAlignment="1">
      <alignment horizontal="left" vertical="top" wrapText="1" indent="5"/>
    </xf>
    <xf numFmtId="0" fontId="0" fillId="3" borderId="3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left" vertical="top" wrapText="1" indent="5"/>
    </xf>
    <xf numFmtId="0" fontId="7" fillId="4" borderId="4" xfId="0" applyFont="1" applyFill="1" applyBorder="1" applyAlignment="1">
      <alignment horizontal="left" vertical="top" wrapText="1" indent="5"/>
    </xf>
    <xf numFmtId="0" fontId="12" fillId="0" borderId="6" xfId="0" applyFont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left" vertical="top" wrapText="1" indent="5"/>
    </xf>
    <xf numFmtId="0" fontId="3" fillId="5" borderId="4" xfId="0" applyFont="1" applyFill="1" applyBorder="1" applyAlignment="1">
      <alignment horizontal="left" vertical="top" wrapText="1" indent="5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5" borderId="3" xfId="0" applyFont="1" applyFill="1" applyBorder="1" applyAlignment="1">
      <alignment horizontal="center" vertical="top" wrapText="1"/>
    </xf>
    <xf numFmtId="0" fontId="1" fillId="5" borderId="4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left" vertical="top" wrapText="1" indent="5"/>
    </xf>
    <xf numFmtId="0" fontId="1" fillId="5" borderId="4" xfId="0" applyFont="1" applyFill="1" applyBorder="1" applyAlignment="1">
      <alignment horizontal="left" vertical="top" wrapText="1" indent="5"/>
    </xf>
    <xf numFmtId="0" fontId="24" fillId="0" borderId="0" xfId="0" applyFont="1" applyAlignment="1">
      <alignment horizontal="left" vertical="top"/>
    </xf>
    <xf numFmtId="1" fontId="24" fillId="0" borderId="0" xfId="0" applyNumberFormat="1" applyFont="1" applyAlignment="1">
      <alignment horizontal="left" vertical="top"/>
    </xf>
    <xf numFmtId="164" fontId="5" fillId="0" borderId="3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160527</xdr:colOff>
      <xdr:row>0</xdr:row>
      <xdr:rowOff>0</xdr:rowOff>
    </xdr:from>
    <xdr:ext cx="1207494" cy="455568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07494" cy="4555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598265</xdr:colOff>
      <xdr:row>0</xdr:row>
      <xdr:rowOff>0</xdr:rowOff>
    </xdr:from>
    <xdr:ext cx="897335" cy="348926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97335" cy="3489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3ED91-F40A-E84E-96A7-971EE5A07F8E}">
  <dimension ref="A1:B12"/>
  <sheetViews>
    <sheetView tabSelected="1" workbookViewId="0">
      <selection activeCell="B12" sqref="B12"/>
    </sheetView>
  </sheetViews>
  <sheetFormatPr baseColWidth="10" defaultRowHeight="13" x14ac:dyDescent="0.15"/>
  <cols>
    <col min="1" max="1" width="84.3984375" bestFit="1" customWidth="1"/>
    <col min="2" max="2" width="7.3984375" bestFit="1" customWidth="1"/>
  </cols>
  <sheetData>
    <row r="1" spans="1:2" ht="16" x14ac:dyDescent="0.15">
      <c r="A1" s="75" t="s">
        <v>64</v>
      </c>
      <c r="B1" s="75" t="s">
        <v>65</v>
      </c>
    </row>
    <row r="2" spans="1:2" ht="16" x14ac:dyDescent="0.15">
      <c r="A2" s="75" t="s">
        <v>66</v>
      </c>
      <c r="B2" s="76">
        <f>'Table 1'!F4</f>
        <v>13000</v>
      </c>
    </row>
    <row r="3" spans="1:2" ht="16" x14ac:dyDescent="0.15">
      <c r="A3" s="75" t="s">
        <v>67</v>
      </c>
      <c r="B3" s="76">
        <f>'Table 1'!F10</f>
        <v>666</v>
      </c>
    </row>
    <row r="4" spans="1:2" ht="16" x14ac:dyDescent="0.15">
      <c r="A4" s="75" t="s">
        <v>68</v>
      </c>
      <c r="B4" s="76">
        <f>'Table 2'!E3</f>
        <v>14641</v>
      </c>
    </row>
    <row r="5" spans="1:2" ht="16" x14ac:dyDescent="0.15">
      <c r="A5" s="75" t="s">
        <v>69</v>
      </c>
      <c r="B5" s="76">
        <f>'Table 2'!E4</f>
        <v>16057</v>
      </c>
    </row>
    <row r="6" spans="1:2" ht="16" x14ac:dyDescent="0.15">
      <c r="A6" s="75" t="s">
        <v>70</v>
      </c>
      <c r="B6" s="76">
        <f>'Table 2'!E5</f>
        <v>17013</v>
      </c>
    </row>
    <row r="7" spans="1:2" ht="16" x14ac:dyDescent="0.15">
      <c r="A7" s="75" t="s">
        <v>71</v>
      </c>
      <c r="B7" s="76">
        <f>'Table 2'!E6</f>
        <v>17727</v>
      </c>
    </row>
    <row r="8" spans="1:2" ht="16" x14ac:dyDescent="0.15">
      <c r="A8" s="75" t="s">
        <v>72</v>
      </c>
      <c r="B8" s="76">
        <f>'Table 1'!F19</f>
        <v>13647</v>
      </c>
    </row>
    <row r="9" spans="1:2" ht="16" x14ac:dyDescent="0.15">
      <c r="A9" s="75" t="s">
        <v>73</v>
      </c>
      <c r="B9" s="76">
        <f>'Table 1'!F20</f>
        <v>11216</v>
      </c>
    </row>
    <row r="10" spans="1:2" ht="16" x14ac:dyDescent="0.15">
      <c r="A10" s="75" t="s">
        <v>74</v>
      </c>
      <c r="B10" s="76">
        <f>'Table 2'!E11</f>
        <v>1670</v>
      </c>
    </row>
    <row r="11" spans="1:2" ht="16" x14ac:dyDescent="0.15">
      <c r="A11" s="75" t="s">
        <v>75</v>
      </c>
      <c r="B11" s="76">
        <f>'Table 2'!E12</f>
        <v>956</v>
      </c>
    </row>
    <row r="12" spans="1:2" ht="16" x14ac:dyDescent="0.15">
      <c r="A12" s="75" t="s">
        <v>76</v>
      </c>
      <c r="B12" s="76">
        <f>'Table 2'!E13</f>
        <v>1416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opLeftCell="B11" zoomScale="130" zoomScaleNormal="130" workbookViewId="0">
      <selection activeCell="F19" sqref="F19"/>
    </sheetView>
  </sheetViews>
  <sheetFormatPr baseColWidth="10" defaultColWidth="9" defaultRowHeight="13" x14ac:dyDescent="0.15"/>
  <cols>
    <col min="1" max="1" width="21.19921875" customWidth="1"/>
    <col min="2" max="2" width="34.59765625" customWidth="1"/>
    <col min="3" max="3" width="14" customWidth="1"/>
    <col min="4" max="4" width="14.59765625" customWidth="1"/>
    <col min="5" max="5" width="14" customWidth="1"/>
    <col min="6" max="6" width="15.3984375" customWidth="1"/>
  </cols>
  <sheetData>
    <row r="1" spans="1:6" ht="34" customHeight="1" x14ac:dyDescent="0.15">
      <c r="A1" s="1" t="s">
        <v>0</v>
      </c>
      <c r="B1" s="18" t="s">
        <v>1</v>
      </c>
      <c r="C1" s="18"/>
      <c r="D1" s="18"/>
      <c r="E1" s="19"/>
      <c r="F1" s="19"/>
    </row>
    <row r="2" spans="1:6" ht="21" customHeight="1" x14ac:dyDescent="0.15">
      <c r="A2" s="20" t="s">
        <v>2</v>
      </c>
      <c r="B2" s="20"/>
      <c r="C2" s="20"/>
      <c r="D2" s="20"/>
      <c r="E2" s="20"/>
      <c r="F2" s="20"/>
    </row>
    <row r="3" spans="1:6" ht="14.75" customHeight="1" x14ac:dyDescent="0.15">
      <c r="A3" s="21" t="s">
        <v>3</v>
      </c>
      <c r="B3" s="22"/>
      <c r="C3" s="21" t="s">
        <v>4</v>
      </c>
      <c r="D3" s="22"/>
      <c r="E3" s="23" t="s">
        <v>5</v>
      </c>
      <c r="F3" s="24"/>
    </row>
    <row r="4" spans="1:6" ht="35" customHeight="1" x14ac:dyDescent="0.15">
      <c r="A4" s="25" t="s">
        <v>6</v>
      </c>
      <c r="B4" s="26"/>
      <c r="C4" s="27">
        <v>11765</v>
      </c>
      <c r="D4" s="28"/>
      <c r="F4" s="77">
        <v>13000</v>
      </c>
    </row>
    <row r="5" spans="1:6" ht="12.25" customHeight="1" x14ac:dyDescent="0.15">
      <c r="A5" s="31" t="s">
        <v>7</v>
      </c>
      <c r="B5" s="31"/>
      <c r="C5" s="31"/>
      <c r="D5" s="31"/>
      <c r="E5" s="31"/>
      <c r="F5" s="31"/>
    </row>
    <row r="6" spans="1:6" ht="10.75" customHeight="1" x14ac:dyDescent="0.15">
      <c r="A6" s="32" t="s">
        <v>8</v>
      </c>
      <c r="B6" s="32"/>
      <c r="C6" s="32"/>
      <c r="D6" s="32"/>
      <c r="E6" s="32"/>
      <c r="F6" s="32"/>
    </row>
    <row r="7" spans="1:6" ht="14.25" customHeight="1" x14ac:dyDescent="0.15">
      <c r="A7" s="33" t="s">
        <v>9</v>
      </c>
      <c r="B7" s="33"/>
      <c r="C7" s="33"/>
      <c r="D7" s="33"/>
      <c r="E7" s="33"/>
      <c r="F7" s="33"/>
    </row>
    <row r="8" spans="1:6" ht="14.75" customHeight="1" x14ac:dyDescent="0.15">
      <c r="A8" s="4" t="s">
        <v>10</v>
      </c>
      <c r="B8" s="5"/>
      <c r="C8" s="34"/>
      <c r="D8" s="34"/>
      <c r="E8" s="34"/>
      <c r="F8" s="34"/>
    </row>
    <row r="9" spans="1:6" ht="14.75" customHeight="1" x14ac:dyDescent="0.15">
      <c r="A9" s="21" t="s">
        <v>11</v>
      </c>
      <c r="B9" s="22"/>
      <c r="C9" s="21" t="s">
        <v>4</v>
      </c>
      <c r="D9" s="22"/>
      <c r="E9" s="35" t="s">
        <v>12</v>
      </c>
      <c r="F9" s="36"/>
    </row>
    <row r="10" spans="1:6" ht="14.75" customHeight="1" x14ac:dyDescent="0.15">
      <c r="A10" s="25" t="s">
        <v>13</v>
      </c>
      <c r="B10" s="26"/>
      <c r="C10" s="37">
        <v>550</v>
      </c>
      <c r="D10" s="38"/>
      <c r="E10" s="6" t="s">
        <v>14</v>
      </c>
      <c r="F10" s="7">
        <v>666</v>
      </c>
    </row>
    <row r="11" spans="1:6" ht="32.25" customHeight="1" x14ac:dyDescent="0.15">
      <c r="A11" s="39" t="s">
        <v>15</v>
      </c>
      <c r="B11" s="39"/>
      <c r="C11" s="39"/>
      <c r="D11" s="39"/>
      <c r="E11" s="39"/>
      <c r="F11" s="39"/>
    </row>
    <row r="12" spans="1:6" ht="14.75" customHeight="1" x14ac:dyDescent="0.15">
      <c r="A12" s="21" t="s">
        <v>3</v>
      </c>
      <c r="B12" s="22"/>
      <c r="C12" s="21" t="s">
        <v>4</v>
      </c>
      <c r="D12" s="22"/>
      <c r="E12" s="35" t="s">
        <v>12</v>
      </c>
      <c r="F12" s="36"/>
    </row>
    <row r="13" spans="1:6" ht="15.25" customHeight="1" x14ac:dyDescent="0.15">
      <c r="A13" s="25" t="s">
        <v>16</v>
      </c>
      <c r="B13" s="26"/>
      <c r="C13" s="8" t="s">
        <v>17</v>
      </c>
      <c r="D13" s="9">
        <v>1655</v>
      </c>
      <c r="E13" s="6" t="s">
        <v>14</v>
      </c>
      <c r="F13" s="10">
        <v>2003</v>
      </c>
    </row>
    <row r="14" spans="1:6" ht="19.5" customHeight="1" x14ac:dyDescent="0.15">
      <c r="A14" s="40" t="s">
        <v>18</v>
      </c>
      <c r="B14" s="41"/>
      <c r="C14" s="8" t="s">
        <v>17</v>
      </c>
      <c r="D14" s="11">
        <v>80</v>
      </c>
      <c r="E14" s="6" t="s">
        <v>14</v>
      </c>
      <c r="F14" s="12">
        <v>96.8</v>
      </c>
    </row>
    <row r="15" spans="1:6" ht="19.5" customHeight="1" x14ac:dyDescent="0.15">
      <c r="A15" s="40" t="s">
        <v>19</v>
      </c>
      <c r="B15" s="41"/>
      <c r="C15" s="8" t="s">
        <v>17</v>
      </c>
      <c r="D15" s="11">
        <v>96</v>
      </c>
      <c r="E15" s="6" t="s">
        <v>14</v>
      </c>
      <c r="F15" s="12">
        <v>116.16</v>
      </c>
    </row>
    <row r="16" spans="1:6" ht="21" customHeight="1" x14ac:dyDescent="0.15">
      <c r="A16" s="31" t="s">
        <v>20</v>
      </c>
      <c r="B16" s="31"/>
      <c r="C16" s="31"/>
      <c r="D16" s="31"/>
      <c r="E16" s="31"/>
      <c r="F16" s="31"/>
    </row>
    <row r="17" spans="1:6" ht="26" customHeight="1" x14ac:dyDescent="0.15">
      <c r="A17" s="42" t="s">
        <v>21</v>
      </c>
      <c r="B17" s="42"/>
      <c r="C17" s="42"/>
      <c r="D17" s="42"/>
      <c r="E17" s="42"/>
      <c r="F17" s="42"/>
    </row>
    <row r="18" spans="1:6" ht="18" customHeight="1" x14ac:dyDescent="0.15">
      <c r="A18" s="43" t="s">
        <v>22</v>
      </c>
      <c r="B18" s="44"/>
      <c r="C18" s="45" t="s">
        <v>23</v>
      </c>
      <c r="D18" s="46"/>
      <c r="E18" s="47" t="s">
        <v>24</v>
      </c>
      <c r="F18" s="48"/>
    </row>
    <row r="19" spans="1:6" ht="36" customHeight="1" x14ac:dyDescent="0.15">
      <c r="A19" s="49" t="s">
        <v>25</v>
      </c>
      <c r="B19" s="50"/>
      <c r="C19" s="27">
        <v>12350</v>
      </c>
      <c r="D19" s="28"/>
      <c r="F19" s="77">
        <v>13647</v>
      </c>
    </row>
    <row r="20" spans="1:6" ht="36" customHeight="1" x14ac:dyDescent="0.15">
      <c r="A20" s="49" t="s">
        <v>26</v>
      </c>
      <c r="B20" s="50"/>
      <c r="C20" s="27">
        <v>10150</v>
      </c>
      <c r="D20" s="28"/>
      <c r="F20" s="77">
        <v>11216</v>
      </c>
    </row>
    <row r="21" spans="1:6" ht="22.5" customHeight="1" x14ac:dyDescent="0.15">
      <c r="A21" s="51" t="s">
        <v>8</v>
      </c>
      <c r="B21" s="51"/>
      <c r="C21" s="51"/>
      <c r="D21" s="51"/>
      <c r="E21" s="51"/>
      <c r="F21" s="51"/>
    </row>
    <row r="22" spans="1:6" ht="14.25" customHeight="1" x14ac:dyDescent="0.15">
      <c r="A22" s="52" t="s">
        <v>27</v>
      </c>
      <c r="B22" s="53"/>
      <c r="C22" s="54" t="s">
        <v>28</v>
      </c>
      <c r="D22" s="55"/>
      <c r="E22" s="56" t="s">
        <v>29</v>
      </c>
      <c r="F22" s="57"/>
    </row>
    <row r="23" spans="1:6" ht="38" customHeight="1" x14ac:dyDescent="0.15">
      <c r="A23" s="52" t="s">
        <v>30</v>
      </c>
      <c r="B23" s="53"/>
      <c r="C23" s="27">
        <v>3300</v>
      </c>
      <c r="D23" s="28"/>
      <c r="E23" s="29">
        <v>3647</v>
      </c>
      <c r="F23" s="30"/>
    </row>
    <row r="24" spans="1:6" ht="13.75" customHeight="1" x14ac:dyDescent="0.15">
      <c r="A24" s="58" t="s">
        <v>31</v>
      </c>
      <c r="B24" s="58"/>
      <c r="C24" s="58"/>
      <c r="D24" s="58"/>
      <c r="E24" s="58"/>
      <c r="F24" s="58"/>
    </row>
    <row r="25" spans="1:6" ht="13.75" customHeight="1" x14ac:dyDescent="0.15">
      <c r="A25" s="59" t="s">
        <v>32</v>
      </c>
      <c r="B25" s="60"/>
      <c r="C25" s="54" t="s">
        <v>28</v>
      </c>
      <c r="D25" s="55"/>
      <c r="E25" s="54" t="s">
        <v>33</v>
      </c>
      <c r="F25" s="55"/>
    </row>
    <row r="26" spans="1:6" ht="21.25" customHeight="1" x14ac:dyDescent="0.15">
      <c r="A26" s="59" t="s">
        <v>34</v>
      </c>
      <c r="B26" s="60"/>
      <c r="C26" s="27">
        <v>2500</v>
      </c>
      <c r="D26" s="28"/>
      <c r="E26" s="29">
        <v>3025</v>
      </c>
      <c r="F26" s="30"/>
    </row>
    <row r="27" spans="1:6" ht="10.25" customHeight="1" x14ac:dyDescent="0.15">
      <c r="A27" s="61"/>
      <c r="B27" s="61"/>
      <c r="C27" s="61"/>
      <c r="D27" s="61"/>
      <c r="E27" s="61"/>
      <c r="F27" s="61"/>
    </row>
    <row r="28" spans="1:6" ht="16.5" customHeight="1" x14ac:dyDescent="0.15">
      <c r="A28" s="62" t="s">
        <v>35</v>
      </c>
      <c r="B28" s="63"/>
      <c r="C28" s="63"/>
      <c r="D28" s="63"/>
      <c r="E28" s="63"/>
      <c r="F28" s="64"/>
    </row>
    <row r="29" spans="1:6" ht="13.5" customHeight="1" x14ac:dyDescent="0.15">
      <c r="A29" s="31" t="s">
        <v>36</v>
      </c>
      <c r="B29" s="31"/>
      <c r="C29" s="31"/>
      <c r="D29" s="31"/>
      <c r="E29" s="31"/>
      <c r="F29" s="31"/>
    </row>
    <row r="30" spans="1:6" ht="12.75" customHeight="1" x14ac:dyDescent="0.15">
      <c r="A30" s="19" t="s">
        <v>37</v>
      </c>
      <c r="B30" s="19"/>
      <c r="C30" s="19"/>
      <c r="D30" s="19"/>
      <c r="E30" s="19"/>
      <c r="F30" s="19"/>
    </row>
    <row r="31" spans="1:6" ht="18.25" customHeight="1" x14ac:dyDescent="0.15">
      <c r="A31" s="42" t="s">
        <v>38</v>
      </c>
      <c r="B31" s="42"/>
      <c r="C31" s="42"/>
      <c r="D31" s="42"/>
      <c r="E31" s="42"/>
      <c r="F31" s="42"/>
    </row>
    <row r="32" spans="1:6" ht="16.5" customHeight="1" x14ac:dyDescent="0.15">
      <c r="A32" s="62" t="s">
        <v>39</v>
      </c>
      <c r="B32" s="63"/>
      <c r="C32" s="63"/>
      <c r="D32" s="63"/>
      <c r="E32" s="63"/>
      <c r="F32" s="64"/>
    </row>
    <row r="33" spans="1:6" ht="13.5" customHeight="1" x14ac:dyDescent="0.15">
      <c r="A33" s="31" t="s">
        <v>40</v>
      </c>
      <c r="B33" s="31"/>
      <c r="C33" s="31"/>
      <c r="D33" s="31"/>
      <c r="E33" s="31"/>
      <c r="F33" s="31"/>
    </row>
    <row r="34" spans="1:6" ht="12.75" customHeight="1" x14ac:dyDescent="0.15">
      <c r="A34" s="19" t="s">
        <v>41</v>
      </c>
      <c r="B34" s="19"/>
      <c r="C34" s="19"/>
      <c r="D34" s="19"/>
      <c r="E34" s="19"/>
      <c r="F34" s="19"/>
    </row>
    <row r="35" spans="1:6" ht="21.75" customHeight="1" x14ac:dyDescent="0.15">
      <c r="A35" s="42" t="s">
        <v>42</v>
      </c>
      <c r="B35" s="42"/>
      <c r="C35" s="42"/>
      <c r="D35" s="42"/>
      <c r="E35" s="42"/>
      <c r="F35" s="42"/>
    </row>
    <row r="36" spans="1:6" ht="16.5" customHeight="1" x14ac:dyDescent="0.15">
      <c r="A36" s="62" t="s">
        <v>43</v>
      </c>
      <c r="B36" s="63"/>
      <c r="C36" s="63"/>
      <c r="D36" s="63"/>
      <c r="E36" s="63"/>
      <c r="F36" s="64"/>
    </row>
    <row r="37" spans="1:6" ht="13.5" customHeight="1" x14ac:dyDescent="0.15">
      <c r="A37" s="31" t="s">
        <v>44</v>
      </c>
      <c r="B37" s="31"/>
      <c r="C37" s="31"/>
      <c r="D37" s="31"/>
      <c r="E37" s="31"/>
      <c r="F37" s="31"/>
    </row>
    <row r="38" spans="1:6" ht="12.75" customHeight="1" x14ac:dyDescent="0.15">
      <c r="A38" s="19" t="s">
        <v>45</v>
      </c>
      <c r="B38" s="19"/>
      <c r="C38" s="19"/>
      <c r="D38" s="19"/>
      <c r="E38" s="19"/>
      <c r="F38" s="19"/>
    </row>
    <row r="39" spans="1:6" ht="12.75" customHeight="1" x14ac:dyDescent="0.15">
      <c r="A39" s="19" t="s">
        <v>46</v>
      </c>
      <c r="B39" s="19"/>
      <c r="C39" s="19"/>
      <c r="D39" s="19"/>
      <c r="E39" s="19"/>
      <c r="F39" s="19"/>
    </row>
  </sheetData>
  <mergeCells count="61">
    <mergeCell ref="A39:F39"/>
    <mergeCell ref="A34:F34"/>
    <mergeCell ref="A35:F35"/>
    <mergeCell ref="A36:F36"/>
    <mergeCell ref="A37:F37"/>
    <mergeCell ref="A38:F38"/>
    <mergeCell ref="A29:F29"/>
    <mergeCell ref="A30:F30"/>
    <mergeCell ref="A31:F31"/>
    <mergeCell ref="A32:F32"/>
    <mergeCell ref="A33:F33"/>
    <mergeCell ref="A26:B26"/>
    <mergeCell ref="C26:D26"/>
    <mergeCell ref="E26:F26"/>
    <mergeCell ref="A27:F27"/>
    <mergeCell ref="A28:F28"/>
    <mergeCell ref="A23:B23"/>
    <mergeCell ref="C23:D23"/>
    <mergeCell ref="E23:F23"/>
    <mergeCell ref="A24:F24"/>
    <mergeCell ref="A25:B25"/>
    <mergeCell ref="C25:D25"/>
    <mergeCell ref="E25:F25"/>
    <mergeCell ref="A20:B20"/>
    <mergeCell ref="C20:D20"/>
    <mergeCell ref="A21:F21"/>
    <mergeCell ref="A22:B22"/>
    <mergeCell ref="C22:D22"/>
    <mergeCell ref="E22:F22"/>
    <mergeCell ref="A18:B18"/>
    <mergeCell ref="C18:D18"/>
    <mergeCell ref="E18:F18"/>
    <mergeCell ref="A19:B19"/>
    <mergeCell ref="C19:D19"/>
    <mergeCell ref="A13:B13"/>
    <mergeCell ref="A14:B14"/>
    <mergeCell ref="A15:B15"/>
    <mergeCell ref="A16:F16"/>
    <mergeCell ref="A17:F17"/>
    <mergeCell ref="A10:B10"/>
    <mergeCell ref="C10:D10"/>
    <mergeCell ref="A11:F11"/>
    <mergeCell ref="A12:B12"/>
    <mergeCell ref="C12:D12"/>
    <mergeCell ref="E12:F12"/>
    <mergeCell ref="A7:F7"/>
    <mergeCell ref="C8:D8"/>
    <mergeCell ref="E8:F8"/>
    <mergeCell ref="A9:B9"/>
    <mergeCell ref="C9:D9"/>
    <mergeCell ref="E9:F9"/>
    <mergeCell ref="A4:B4"/>
    <mergeCell ref="C4:D4"/>
    <mergeCell ref="A5:F5"/>
    <mergeCell ref="A6:F6"/>
    <mergeCell ref="B1:D1"/>
    <mergeCell ref="E1:F1"/>
    <mergeCell ref="A2:F2"/>
    <mergeCell ref="A3:B3"/>
    <mergeCell ref="C3:D3"/>
    <mergeCell ref="E3:F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zoomScaleNormal="100" workbookViewId="0">
      <selection activeCell="E11" sqref="E11"/>
    </sheetView>
  </sheetViews>
  <sheetFormatPr baseColWidth="10" defaultColWidth="9" defaultRowHeight="13" x14ac:dyDescent="0.15"/>
  <cols>
    <col min="1" max="1" width="56" customWidth="1"/>
    <col min="2" max="2" width="14" customWidth="1"/>
    <col min="3" max="3" width="14.59765625" customWidth="1"/>
    <col min="4" max="4" width="14" customWidth="1"/>
    <col min="5" max="5" width="15.3984375" customWidth="1"/>
  </cols>
  <sheetData>
    <row r="1" spans="1:5" ht="27.5" customHeight="1" x14ac:dyDescent="0.15">
      <c r="A1" s="42" t="s">
        <v>47</v>
      </c>
      <c r="B1" s="42"/>
      <c r="C1" s="42"/>
      <c r="D1" s="42"/>
      <c r="E1" s="42"/>
    </row>
    <row r="2" spans="1:5" ht="37" customHeight="1" x14ac:dyDescent="0.15">
      <c r="A2" s="13" t="s">
        <v>48</v>
      </c>
      <c r="B2" s="65" t="s">
        <v>4</v>
      </c>
      <c r="C2" s="66"/>
      <c r="D2" s="67" t="s">
        <v>5</v>
      </c>
      <c r="E2" s="68"/>
    </row>
    <row r="3" spans="1:5" ht="38.25" customHeight="1" x14ac:dyDescent="0.15">
      <c r="A3" s="14" t="s">
        <v>49</v>
      </c>
      <c r="B3" s="27">
        <v>13250</v>
      </c>
      <c r="C3" s="28"/>
      <c r="E3" s="77">
        <v>14641</v>
      </c>
    </row>
    <row r="4" spans="1:5" ht="32.25" customHeight="1" x14ac:dyDescent="0.15">
      <c r="A4" s="14" t="s">
        <v>50</v>
      </c>
      <c r="B4" s="27">
        <v>14420</v>
      </c>
      <c r="C4" s="28"/>
      <c r="E4" s="77">
        <v>16057</v>
      </c>
    </row>
    <row r="5" spans="1:5" ht="32.25" customHeight="1" x14ac:dyDescent="0.15">
      <c r="A5" s="14" t="s">
        <v>51</v>
      </c>
      <c r="B5" s="27">
        <v>15210</v>
      </c>
      <c r="C5" s="28"/>
      <c r="E5" s="77">
        <v>17013</v>
      </c>
    </row>
    <row r="6" spans="1:5" ht="32.25" customHeight="1" x14ac:dyDescent="0.15">
      <c r="A6" s="14" t="s">
        <v>52</v>
      </c>
      <c r="B6" s="27">
        <v>15800</v>
      </c>
      <c r="C6" s="28"/>
      <c r="E6" s="77">
        <v>17727</v>
      </c>
    </row>
    <row r="7" spans="1:5" ht="24.25" customHeight="1" x14ac:dyDescent="0.15">
      <c r="A7" s="15" t="s">
        <v>8</v>
      </c>
      <c r="B7" s="69"/>
      <c r="C7" s="69"/>
      <c r="D7" s="69"/>
      <c r="E7" s="69"/>
    </row>
    <row r="8" spans="1:5" ht="18.5" customHeight="1" x14ac:dyDescent="0.15">
      <c r="A8" s="3" t="s">
        <v>53</v>
      </c>
      <c r="B8" s="70"/>
      <c r="C8" s="70"/>
      <c r="D8" s="70"/>
      <c r="E8" s="70"/>
    </row>
    <row r="9" spans="1:5" ht="14.75" customHeight="1" x14ac:dyDescent="0.15">
      <c r="A9" s="4" t="s">
        <v>54</v>
      </c>
      <c r="B9" s="34"/>
      <c r="C9" s="34"/>
      <c r="D9" s="34"/>
      <c r="E9" s="34"/>
    </row>
    <row r="10" spans="1:5" ht="10.25" customHeight="1" x14ac:dyDescent="0.15">
      <c r="A10" s="16" t="s">
        <v>55</v>
      </c>
      <c r="B10" s="71" t="s">
        <v>56</v>
      </c>
      <c r="C10" s="72"/>
      <c r="D10" s="73" t="s">
        <v>57</v>
      </c>
      <c r="E10" s="74"/>
    </row>
    <row r="11" spans="1:5" ht="13.75" customHeight="1" x14ac:dyDescent="0.15">
      <c r="A11" s="17" t="s">
        <v>58</v>
      </c>
      <c r="B11" s="8" t="s">
        <v>17</v>
      </c>
      <c r="C11" s="9">
        <v>1380</v>
      </c>
      <c r="D11" s="6" t="s">
        <v>14</v>
      </c>
      <c r="E11" s="10">
        <v>1670</v>
      </c>
    </row>
    <row r="12" spans="1:5" ht="14.25" customHeight="1" x14ac:dyDescent="0.15">
      <c r="A12" s="17" t="s">
        <v>59</v>
      </c>
      <c r="B12" s="8" t="s">
        <v>17</v>
      </c>
      <c r="C12" s="11">
        <v>790</v>
      </c>
      <c r="D12" s="6" t="s">
        <v>14</v>
      </c>
      <c r="E12" s="7">
        <v>956</v>
      </c>
    </row>
    <row r="13" spans="1:5" ht="15.75" customHeight="1" x14ac:dyDescent="0.15">
      <c r="A13" s="17" t="s">
        <v>60</v>
      </c>
      <c r="B13" s="8" t="s">
        <v>17</v>
      </c>
      <c r="C13" s="9">
        <v>1170</v>
      </c>
      <c r="D13" s="6" t="s">
        <v>14</v>
      </c>
      <c r="E13" s="10">
        <v>1416</v>
      </c>
    </row>
    <row r="14" spans="1:5" ht="47.5" customHeight="1" x14ac:dyDescent="0.15">
      <c r="A14" s="51" t="s">
        <v>8</v>
      </c>
      <c r="B14" s="51"/>
      <c r="C14" s="51"/>
      <c r="D14" s="51"/>
      <c r="E14" s="51"/>
    </row>
    <row r="15" spans="1:5" ht="16.5" customHeight="1" x14ac:dyDescent="0.15">
      <c r="A15" s="62" t="s">
        <v>61</v>
      </c>
      <c r="B15" s="63"/>
      <c r="C15" s="63"/>
      <c r="D15" s="63"/>
      <c r="E15" s="64"/>
    </row>
    <row r="16" spans="1:5" ht="19" customHeight="1" x14ac:dyDescent="0.15">
      <c r="A16" s="2" t="s">
        <v>36</v>
      </c>
      <c r="B16" s="69"/>
      <c r="C16" s="69"/>
      <c r="D16" s="69"/>
      <c r="E16" s="69"/>
    </row>
    <row r="17" spans="1:5" ht="15.75" customHeight="1" x14ac:dyDescent="0.15">
      <c r="A17" s="19" t="s">
        <v>37</v>
      </c>
      <c r="B17" s="19"/>
      <c r="C17" s="19"/>
      <c r="D17" s="19"/>
      <c r="E17" s="19"/>
    </row>
    <row r="18" spans="1:5" ht="21.5" customHeight="1" x14ac:dyDescent="0.15">
      <c r="A18" s="42" t="s">
        <v>38</v>
      </c>
      <c r="B18" s="42"/>
      <c r="C18" s="42"/>
      <c r="D18" s="42"/>
      <c r="E18" s="42"/>
    </row>
    <row r="19" spans="1:5" ht="16.5" customHeight="1" x14ac:dyDescent="0.15">
      <c r="A19" s="62" t="s">
        <v>62</v>
      </c>
      <c r="B19" s="63"/>
      <c r="C19" s="63"/>
      <c r="D19" s="63"/>
      <c r="E19" s="64"/>
    </row>
    <row r="20" spans="1:5" ht="19" customHeight="1" x14ac:dyDescent="0.15">
      <c r="A20" s="31" t="s">
        <v>40</v>
      </c>
      <c r="B20" s="31"/>
      <c r="C20" s="31"/>
      <c r="D20" s="31"/>
      <c r="E20" s="31"/>
    </row>
    <row r="21" spans="1:5" ht="15.75" customHeight="1" x14ac:dyDescent="0.15">
      <c r="A21" s="19" t="s">
        <v>41</v>
      </c>
      <c r="B21" s="19"/>
      <c r="C21" s="19"/>
      <c r="D21" s="19"/>
      <c r="E21" s="19"/>
    </row>
    <row r="22" spans="1:5" ht="12.75" customHeight="1" x14ac:dyDescent="0.15">
      <c r="A22" s="19" t="s">
        <v>63</v>
      </c>
      <c r="B22" s="19"/>
      <c r="C22" s="19"/>
      <c r="D22" s="19"/>
      <c r="E22" s="19"/>
    </row>
  </sheetData>
  <mergeCells count="25">
    <mergeCell ref="A22:E22"/>
    <mergeCell ref="A17:E17"/>
    <mergeCell ref="A18:E18"/>
    <mergeCell ref="A19:E19"/>
    <mergeCell ref="A20:E20"/>
    <mergeCell ref="A21:E21"/>
    <mergeCell ref="B10:C10"/>
    <mergeCell ref="D10:E10"/>
    <mergeCell ref="A14:E14"/>
    <mergeCell ref="A15:E15"/>
    <mergeCell ref="B16:C16"/>
    <mergeCell ref="D16:E16"/>
    <mergeCell ref="B7:C7"/>
    <mergeCell ref="D7:E7"/>
    <mergeCell ref="B8:C8"/>
    <mergeCell ref="D8:E8"/>
    <mergeCell ref="B9:C9"/>
    <mergeCell ref="D9:E9"/>
    <mergeCell ref="B4:C4"/>
    <mergeCell ref="B5:C5"/>
    <mergeCell ref="B6:C6"/>
    <mergeCell ref="A1:E1"/>
    <mergeCell ref="B2:C2"/>
    <mergeCell ref="D2:E2"/>
    <mergeCell ref="B3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Carlos Iruretagoyena</cp:lastModifiedBy>
  <dcterms:created xsi:type="dcterms:W3CDTF">2026-05-14T01:41:37Z</dcterms:created>
  <dcterms:modified xsi:type="dcterms:W3CDTF">2026-05-14T02:04:44Z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2026-05-05T00:00:00Z</vt:filetime>
  </property>
  <property fmtid="{D5CDD505-2E9C-101B-9397-08002B2CF9AE}" pid="4" name="Creator">
    <vt:lpwstr>Microsoft® Excel® 2013</vt:lpwstr>
  </property>
  <property fmtid="{D5CDD505-2E9C-101B-9397-08002B2CF9AE}" pid="5" name="LastSaved">
    <vt:filetime>2026-05-14T00:00:00Z</vt:filetime>
  </property>
  <property fmtid="{D5CDD505-2E9C-101B-9397-08002B2CF9AE}" pid="6" name="Producer">
    <vt:lpwstr>Microsoft® Excel® 2013</vt:lpwstr>
  </property>
</Properties>
</file>