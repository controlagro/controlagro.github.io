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/Documents/Proyectos/controlagro/"/>
    </mc:Choice>
  </mc:AlternateContent>
  <xr:revisionPtr revIDLastSave="0" documentId="13_ncr:1_{FF5C68DC-B1CA-F347-ACF0-1969A4C36076}" xr6:coauthVersionLast="47" xr6:coauthVersionMax="47" xr10:uidLastSave="{00000000-0000-0000-0000-000000000000}"/>
  <bookViews>
    <workbookView xWindow="160" yWindow="840" windowWidth="25280" windowHeight="14320" xr2:uid="{00000000-000D-0000-FFFF-FFFF00000000}"/>
  </bookViews>
  <sheets>
    <sheet name="Hoja1" sheetId="4" r:id="rId1"/>
    <sheet name="lista de precios 824" sheetId="1" r:id="rId2"/>
    <sheet name="COTIZ. ANTENA NOVATEL" sheetId="3" r:id="rId3"/>
    <sheet name="COTIZ. ANTENA RTK" sheetId="2" r:id="rId4"/>
  </sheets>
  <definedNames>
    <definedName name="_xlnm.Print_Area" localSheetId="2">'COTIZ. ANTENA NOVATEL'!$A$1:$F$28</definedName>
    <definedName name="_xlnm.Print_Area" localSheetId="3">'COTIZ. ANTENA RTK'!$B$1:$F$16</definedName>
    <definedName name="_xlnm.Print_Area" localSheetId="1">'lista de precios 824'!$A$1:$F$39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10" i="4"/>
  <c r="B8" i="4"/>
  <c r="B7" i="4"/>
  <c r="B6" i="4"/>
  <c r="B2" i="4" a="1"/>
  <c r="B2" i="4" s="1"/>
  <c r="E6" i="1" l="1"/>
  <c r="E7" i="1" l="1"/>
  <c r="E5" i="1"/>
  <c r="E5" i="2" l="1"/>
  <c r="F5" i="2" s="1"/>
  <c r="F19" i="1"/>
  <c r="B1" i="3" l="1"/>
  <c r="E4" i="3"/>
  <c r="E16" i="3"/>
  <c r="E14" i="3"/>
  <c r="E13" i="3"/>
  <c r="B1" i="2"/>
  <c r="E4" i="2"/>
  <c r="F26" i="1"/>
  <c r="E7" i="3" l="1"/>
  <c r="E5" i="3"/>
  <c r="E6" i="3"/>
  <c r="F16" i="3"/>
  <c r="F5" i="3" s="1"/>
  <c r="F14" i="3"/>
  <c r="F13" i="3"/>
  <c r="F4" i="3"/>
  <c r="F4" i="2"/>
  <c r="F18" i="1"/>
  <c r="F7" i="3" l="1"/>
  <c r="F6" i="3"/>
  <c r="F4" i="1"/>
  <c r="F23" i="1" l="1"/>
  <c r="F14" i="1" l="1"/>
  <c r="F5" i="1" s="1"/>
  <c r="F13" i="1"/>
  <c r="F6" i="1" s="1"/>
  <c r="F12" i="1"/>
  <c r="F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<sst xmlns="http://schemas.openxmlformats.org/spreadsheetml/2006/main" count="90" uniqueCount="66">
  <si>
    <t>NETO</t>
  </si>
  <si>
    <t>CON IVA 10,5%</t>
  </si>
  <si>
    <t>DETALLE DE LA ACTIVACION Y ABONOS</t>
  </si>
  <si>
    <r>
      <rPr>
        <b/>
        <sz val="10"/>
        <color rgb="FF000000"/>
        <rFont val="Calibri"/>
        <family val="2"/>
      </rPr>
      <t>DETALLE del BANDERILLERO</t>
    </r>
    <r>
      <rPr>
        <b/>
        <sz val="12"/>
        <color rgb="FF000000"/>
        <rFont val="Calibri"/>
        <family val="2"/>
      </rPr>
      <t xml:space="preserve"> INTEGRA 6000</t>
    </r>
  </si>
  <si>
    <t>PILOTOS AUTOMATICOS INTEGRA 6000                                                                                          con Giro en Cabecera</t>
  </si>
  <si>
    <t>PRECIO DE LISTA                                           CON IVA 10,5%</t>
  </si>
  <si>
    <t>PRECIO DE LISTA                                  NETO</t>
  </si>
  <si>
    <r>
      <t>Equipo piloto automático</t>
    </r>
    <r>
      <rPr>
        <b/>
        <sz val="12"/>
        <color rgb="FF000000"/>
        <rFont val="Calibri"/>
        <family val="2"/>
      </rPr>
      <t xml:space="preserve"> INTEGRA 6000</t>
    </r>
    <r>
      <rPr>
        <b/>
        <sz val="10"/>
        <color rgb="FF000000"/>
        <rFont val="Calibri"/>
        <family val="2"/>
      </rPr>
      <t xml:space="preserve">, pantalla 10 pulg. táctil, con giro en cabecera,  volante con motor eléctrico, y </t>
    </r>
    <r>
      <rPr>
        <b/>
        <sz val="12"/>
        <color rgb="FF000000"/>
        <rFont val="Calibri"/>
        <family val="2"/>
      </rPr>
      <t>antena con base portatil RTK</t>
    </r>
    <r>
      <rPr>
        <b/>
        <sz val="10"/>
        <color rgb="FF000000"/>
        <rFont val="Calibri"/>
        <family val="2"/>
      </rPr>
      <t xml:space="preserve">, con precisión de </t>
    </r>
    <r>
      <rPr>
        <b/>
        <sz val="12"/>
        <color rgb="FF000000"/>
        <rFont val="Calibri"/>
        <family val="2"/>
      </rPr>
      <t>2,5 cm</t>
    </r>
  </si>
  <si>
    <t xml:space="preserve">COSTO DE SEÑAL TERRESTAR C  </t>
  </si>
  <si>
    <t>DETALLE DEL EQUIPO</t>
  </si>
  <si>
    <t>PILOTO AUTOMATICO CON BASE PORTATIL  PARA ANTENA RTK</t>
  </si>
  <si>
    <t>FORMA DE PAGO DE LA ACTIVACION Y LOS ABONOS:  ANTICIPADO</t>
  </si>
  <si>
    <t>PRECIO DE LISTA                                                                  CON IVA 10,5%</t>
  </si>
  <si>
    <t>ABONO de la Señal con corrección TERRASTAR C PRO de 2,5 cm. por 1 año (pagos anuales)</t>
  </si>
  <si>
    <t>ABONO de la Señal con corrección TERRASTAR C PRO de 2,5 cm. por 3 MESES (pagos trimestrales)</t>
  </si>
  <si>
    <t>COTIZACION DEL EQUIPO</t>
  </si>
  <si>
    <t>COSTO DE SEÑAL TERRESTAR C  PRO</t>
  </si>
  <si>
    <r>
      <rPr>
        <b/>
        <sz val="12"/>
        <color rgb="FF000000"/>
        <rFont val="Calibri"/>
        <family val="2"/>
      </rPr>
      <t xml:space="preserve">Equipo banderillero con pantalla 10 pulg. </t>
    </r>
    <r>
      <rPr>
        <b/>
        <sz val="10"/>
        <color rgb="FF000000"/>
        <rFont val="Calibri"/>
        <family val="2"/>
      </rPr>
      <t>táctil mapeado</t>
    </r>
    <r>
      <rPr>
        <b/>
        <sz val="12"/>
        <color rgb="FF000000"/>
        <rFont val="Calibri"/>
        <family val="2"/>
      </rPr>
      <t xml:space="preserve">r </t>
    </r>
    <r>
      <rPr>
        <b/>
        <sz val="10"/>
        <color rgb="FF000000"/>
        <rFont val="Calibri"/>
        <family val="2"/>
      </rPr>
      <t>con antena de 10 hertz, apto para agregar futuro Piloto automático con Antena RTK o con Ant. Novatel con Abono, Cortes por Surco o monitor de siembra con dosis variable.</t>
    </r>
  </si>
  <si>
    <t>DOLAR DE REFERENCIA: DÓLAR BILLETE BANCO NACION TIPO  VENDEDOR</t>
  </si>
  <si>
    <t>KIT ADICIONAL CABLES PILOTO INTEGRA 6000</t>
  </si>
  <si>
    <t>KIT PARA PODER TRASLADAR EL PILOTO A UN SEGUNDO TRACTOR, COSECHADORA O PULVERIZADORA.</t>
  </si>
  <si>
    <t>FORMAS DE PAGO : para Pilotos y Banderilleros</t>
  </si>
  <si>
    <r>
      <t xml:space="preserve">* </t>
    </r>
    <r>
      <rPr>
        <b/>
        <sz val="12"/>
        <color rgb="FF000000"/>
        <rFont val="Calibri"/>
        <family val="2"/>
      </rPr>
      <t>CONTADO: 10% DESCUENTO</t>
    </r>
    <r>
      <rPr>
        <sz val="12"/>
        <color rgb="FF000000"/>
        <rFont val="Calibri"/>
        <family val="2"/>
      </rPr>
      <t xml:space="preserve"> SOBRE PRECIO DE LISTA</t>
    </r>
  </si>
  <si>
    <t>*OBSERVACIONES: LAS ACTIVACIONES Y ABONOS NO TIENEN COMISIONES.</t>
  </si>
  <si>
    <t xml:space="preserve">FINANCIACIÓN EN DOLARES AJUSTABLE: </t>
  </si>
  <si>
    <r>
      <rPr>
        <b/>
        <sz val="11"/>
        <color rgb="FF000000"/>
        <rFont val="Calibri"/>
        <family val="2"/>
      </rPr>
      <t>*FINANCIACIÓN</t>
    </r>
    <r>
      <rPr>
        <sz val="11"/>
        <color rgb="FF000000"/>
        <rFont val="Calibri"/>
        <family val="2"/>
      </rPr>
      <t xml:space="preserve"> con </t>
    </r>
    <r>
      <rPr>
        <b/>
        <sz val="11"/>
        <color rgb="FF000000"/>
        <rFont val="Calibri"/>
        <family val="2"/>
      </rPr>
      <t>ANTICIPO 25%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alibri"/>
        <family val="2"/>
      </rPr>
      <t>y</t>
    </r>
    <r>
      <rPr>
        <sz val="11"/>
        <color rgb="FF000000"/>
        <rFont val="Calibri"/>
        <family val="2"/>
      </rPr>
      <t xml:space="preserve"> SALDO EN </t>
    </r>
    <r>
      <rPr>
        <b/>
        <sz val="11"/>
        <color rgb="FF000000"/>
        <rFont val="Calibri"/>
        <family val="2"/>
      </rPr>
      <t>12 CHEQUES</t>
    </r>
    <r>
      <rPr>
        <sz val="11"/>
        <color rgb="FF000000"/>
        <rFont val="Calibri"/>
        <family val="2"/>
      </rPr>
      <t xml:space="preserve"> AJUSTABLES, QUE SERIAN DESDE 30, 60,..., 330, 360 DIAS. </t>
    </r>
  </si>
  <si>
    <t>CON IVA 21% - CONTADO</t>
  </si>
  <si>
    <t>FORMAS DE PAGO en $: para Pilotos y Banderilleros</t>
  </si>
  <si>
    <t>Con ACTIVACION de la Antena para TERRASTAR C PRO , le transfiere un precision de 15 cm (pago por unica vez SIEMPRE)</t>
  </si>
  <si>
    <t>PILOTO AUTOMATICO CON ANTENA NOVATEL pars ABONO DE PRECISION</t>
  </si>
  <si>
    <r>
      <t xml:space="preserve">Equipo piloto automático INTEGRA 6000, pantalla 10 pulg. táctil, con giro en cabecera,  volante con motor eléctrico y antena NOVATEL L1-L2 </t>
    </r>
    <r>
      <rPr>
        <b/>
        <sz val="11"/>
        <color rgb="FF000000"/>
        <rFont val="Calibri"/>
        <family val="2"/>
      </rPr>
      <t>con ACTIVACION TERRASTAR</t>
    </r>
    <r>
      <rPr>
        <b/>
        <sz val="10"/>
        <color rgb="FF000000"/>
        <rFont val="Calibri"/>
        <family val="2"/>
      </rPr>
      <t xml:space="preserve"> SIN abono, con 15 CM de PRECISION</t>
    </r>
  </si>
  <si>
    <t>Abono ANUAL: con corr. TERRASTAR C PRO de 2,5 cm. por 1 año</t>
  </si>
  <si>
    <t>Abono TRIMESTRAL: con corr. TERRASTAR C PRO de 2,5 cm. por 3 meses</t>
  </si>
  <si>
    <t>ACTIVACION de la ANTENA NOVATEL para TERRASTAR C PRO (unica vez)</t>
  </si>
  <si>
    <r>
      <t xml:space="preserve">Equipo piloto automático INTEGRA 6000, pantalla 10 pulg. táctil, con giro en cabecera,  volante con motor eléctrico y Antena NOVATEL L1-L2 </t>
    </r>
    <r>
      <rPr>
        <b/>
        <sz val="11"/>
        <color rgb="FF000000"/>
        <rFont val="Calibri"/>
        <family val="2"/>
      </rPr>
      <t xml:space="preserve">con ACTIVACION y </t>
    </r>
    <r>
      <rPr>
        <b/>
        <sz val="10"/>
        <color rgb="FF000000"/>
        <rFont val="Calibri"/>
        <family val="2"/>
      </rPr>
      <t>señal con ABONO TRIMESTRAL con 2,5 CM de PRECISION</t>
    </r>
  </si>
  <si>
    <t>Equipo piloto automático INTEGRA 6000, pantalla 10 pulg. táctil, con giro en cabecera,  volante con motor eléctrico y antena NOVATEL L1-L2 con ACTIVACION y señal con ABONO ANUAL con 2,5 CM de PRECISION</t>
  </si>
  <si>
    <r>
      <t xml:space="preserve">Equipo piloto automático </t>
    </r>
    <r>
      <rPr>
        <b/>
        <sz val="11"/>
        <color rgb="FF000000"/>
        <rFont val="Calibri"/>
        <family val="2"/>
      </rPr>
      <t>INTEGRA 6000</t>
    </r>
    <r>
      <rPr>
        <b/>
        <sz val="10"/>
        <color rgb="FF000000"/>
        <rFont val="Calibri"/>
        <family val="2"/>
      </rPr>
      <t xml:space="preserve">, pantalla 10 pulg., con </t>
    </r>
    <r>
      <rPr>
        <b/>
        <sz val="11"/>
        <color rgb="FF000000"/>
        <rFont val="Calibri"/>
        <family val="2"/>
      </rPr>
      <t xml:space="preserve">Giro </t>
    </r>
    <r>
      <rPr>
        <b/>
        <sz val="10"/>
        <color rgb="FF000000"/>
        <rFont val="Calibri"/>
        <family val="2"/>
      </rPr>
      <t>en Cabecera, Antena SURVEY L1 (compatible pero sin base RTK, SIN abonos),  volante con motor eléc.</t>
    </r>
    <r>
      <rPr>
        <b/>
        <sz val="11"/>
        <color rgb="FF000000"/>
        <rFont val="Calibri"/>
        <family val="2"/>
      </rPr>
      <t>,</t>
    </r>
    <r>
      <rPr>
        <b/>
        <sz val="10"/>
        <color rgb="FF000000"/>
        <rFont val="Calibri"/>
        <family val="2"/>
      </rPr>
      <t xml:space="preserve"> con</t>
    </r>
    <r>
      <rPr>
        <b/>
        <sz val="12"/>
        <color rgb="FF000000"/>
        <rFont val="Calibri"/>
        <family val="2"/>
      </rPr>
      <t xml:space="preserve"> señal libre</t>
    </r>
    <r>
      <rPr>
        <b/>
        <sz val="10"/>
        <color rgb="FF000000"/>
        <rFont val="Calibri"/>
        <family val="2"/>
      </rPr>
      <t xml:space="preserve"> con precisión de </t>
    </r>
    <r>
      <rPr>
        <b/>
        <sz val="12"/>
        <color rgb="FF000000"/>
        <rFont val="Calibri"/>
        <family val="2"/>
      </rPr>
      <t>15 cm</t>
    </r>
  </si>
  <si>
    <r>
      <rPr>
        <b/>
        <sz val="20"/>
        <color rgb="FF000000"/>
        <rFont val="Calibri"/>
        <family val="2"/>
      </rPr>
      <t>PILOTO AUTOMATICO</t>
    </r>
    <r>
      <rPr>
        <b/>
        <sz val="16"/>
        <color rgb="FF000000"/>
        <rFont val="Calibri"/>
        <family val="2"/>
      </rPr>
      <t xml:space="preserve"> CON BASE PORTATIL  PARA </t>
    </r>
    <r>
      <rPr>
        <b/>
        <sz val="20"/>
        <color rgb="FF000000"/>
        <rFont val="Calibri"/>
        <family val="2"/>
      </rPr>
      <t>ANTENA RTK</t>
    </r>
  </si>
  <si>
    <r>
      <rPr>
        <b/>
        <sz val="20"/>
        <color rgb="FF000000"/>
        <rFont val="Calibri"/>
        <family val="2"/>
      </rPr>
      <t>PILOTO AUTOMATICO</t>
    </r>
    <r>
      <rPr>
        <b/>
        <sz val="16"/>
        <color rgb="FF000000"/>
        <rFont val="Calibri"/>
        <family val="2"/>
      </rPr>
      <t xml:space="preserve"> CON ANTENA </t>
    </r>
    <r>
      <rPr>
        <b/>
        <sz val="20"/>
        <color rgb="FF000000"/>
        <rFont val="Calibri"/>
        <family val="2"/>
      </rPr>
      <t>NOVATEL</t>
    </r>
    <r>
      <rPr>
        <b/>
        <sz val="16"/>
        <color rgb="FF000000"/>
        <rFont val="Calibri"/>
        <family val="2"/>
      </rPr>
      <t xml:space="preserve"> PARA ABONO DE PRECISION</t>
    </r>
  </si>
  <si>
    <r>
      <t xml:space="preserve">Equipo piloto automático INTEGRA 6000, pantalla 10 pulg. táctil, con Giro en Cabecera,  volante con motor eléctrico y antena NOVATEL L1-L2                            </t>
    </r>
    <r>
      <rPr>
        <b/>
        <sz val="11"/>
        <color rgb="FF000000"/>
        <rFont val="Calibri"/>
        <family val="2"/>
      </rPr>
      <t>con ACTIVACION,</t>
    </r>
    <r>
      <rPr>
        <b/>
        <sz val="10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SIN abono</t>
    </r>
    <r>
      <rPr>
        <b/>
        <sz val="10"/>
        <color rgb="FF000000"/>
        <rFont val="Calibri"/>
        <family val="2"/>
      </rPr>
      <t xml:space="preserve">, con </t>
    </r>
    <r>
      <rPr>
        <b/>
        <sz val="12"/>
        <color rgb="FF000000"/>
        <rFont val="Calibri"/>
        <family val="2"/>
      </rPr>
      <t xml:space="preserve">15 </t>
    </r>
    <r>
      <rPr>
        <b/>
        <sz val="10"/>
        <color rgb="FF000000"/>
        <rFont val="Calibri"/>
        <family val="2"/>
      </rPr>
      <t>CM de PRECISION</t>
    </r>
  </si>
  <si>
    <r>
      <t xml:space="preserve">Equipo piloto automático INTEGRA 6000, pantalla 10 pulg. táctil, con Giro en Cabecera,  volante con motor eléctrico y Antena NOVATEL L1-L2                         </t>
    </r>
    <r>
      <rPr>
        <b/>
        <sz val="11"/>
        <color rgb="FF000000"/>
        <rFont val="Calibri"/>
        <family val="2"/>
      </rPr>
      <t xml:space="preserve">con ACTIVACION y  </t>
    </r>
    <r>
      <rPr>
        <b/>
        <sz val="12"/>
        <color rgb="FF000000"/>
        <rFont val="Calibri"/>
        <family val="2"/>
      </rPr>
      <t>ABONO</t>
    </r>
    <r>
      <rPr>
        <b/>
        <sz val="10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TRIMESTRAL</t>
    </r>
    <r>
      <rPr>
        <b/>
        <sz val="10"/>
        <color rgb="FF000000"/>
        <rFont val="Calibri"/>
        <family val="2"/>
      </rPr>
      <t xml:space="preserve"> con </t>
    </r>
    <r>
      <rPr>
        <b/>
        <sz val="12"/>
        <color rgb="FF000000"/>
        <rFont val="Calibri"/>
        <family val="2"/>
      </rPr>
      <t>2,5</t>
    </r>
    <r>
      <rPr>
        <b/>
        <sz val="10"/>
        <color rgb="FF000000"/>
        <rFont val="Calibri"/>
        <family val="2"/>
      </rPr>
      <t xml:space="preserve"> CM de PRECISION</t>
    </r>
  </si>
  <si>
    <r>
      <t xml:space="preserve">Equipo piloto automático INTEGRA 6000, pantalla 10 pulg. táctil, con Giro en Cabecera,  volante con motor eléctrico y antena NOVATEL L1-L2                          con </t>
    </r>
    <r>
      <rPr>
        <b/>
        <sz val="11"/>
        <color rgb="FF000000"/>
        <rFont val="Calibri"/>
        <family val="2"/>
      </rPr>
      <t>ACTIVACION</t>
    </r>
    <r>
      <rPr>
        <b/>
        <sz val="10"/>
        <color rgb="FF000000"/>
        <rFont val="Calibri"/>
        <family val="2"/>
      </rPr>
      <t xml:space="preserve"> y </t>
    </r>
    <r>
      <rPr>
        <b/>
        <sz val="12"/>
        <color rgb="FF000000"/>
        <rFont val="Calibri"/>
        <family val="2"/>
      </rPr>
      <t>ABONO ANUAL</t>
    </r>
    <r>
      <rPr>
        <b/>
        <sz val="10"/>
        <color rgb="FF000000"/>
        <rFont val="Calibri"/>
        <family val="2"/>
      </rPr>
      <t xml:space="preserve"> con </t>
    </r>
    <r>
      <rPr>
        <b/>
        <sz val="12"/>
        <color rgb="FF000000"/>
        <rFont val="Calibri"/>
        <family val="2"/>
      </rPr>
      <t>2,5</t>
    </r>
    <r>
      <rPr>
        <b/>
        <sz val="10"/>
        <color rgb="FF000000"/>
        <rFont val="Calibri"/>
        <family val="2"/>
      </rPr>
      <t xml:space="preserve"> CM de PRECISION</t>
    </r>
  </si>
  <si>
    <r>
      <t xml:space="preserve">*Mediante </t>
    </r>
    <r>
      <rPr>
        <b/>
        <sz val="11"/>
        <color rgb="FF000000"/>
        <rFont val="Calibri"/>
        <family val="2"/>
      </rPr>
      <t>CANJE CEREAL con AGROCANJE PILOTO con RTK</t>
    </r>
    <r>
      <rPr>
        <sz val="11"/>
        <color rgb="FF000000"/>
        <rFont val="Calibri"/>
        <family val="2"/>
      </rPr>
      <t xml:space="preserve">:  </t>
    </r>
    <r>
      <rPr>
        <b/>
        <sz val="11"/>
        <color rgb="FF000000"/>
        <rFont val="Calibri"/>
        <family val="2"/>
      </rPr>
      <t>ANTICIPO DEL 30 %</t>
    </r>
    <r>
      <rPr>
        <sz val="11"/>
        <color rgb="FF000000"/>
        <rFont val="Calibri"/>
        <family val="2"/>
      </rPr>
      <t xml:space="preserve"> EN $$, Y </t>
    </r>
    <r>
      <rPr>
        <b/>
        <sz val="11"/>
        <color rgb="FF000000"/>
        <rFont val="Calibri"/>
        <family val="2"/>
      </rPr>
      <t>2 ENTREGAS DE CEREAL</t>
    </r>
    <r>
      <rPr>
        <sz val="11"/>
        <color rgb="FF000000"/>
        <rFont val="Calibri"/>
        <family val="2"/>
      </rPr>
      <t xml:space="preserve"> A 6 Y 12 MESES.</t>
    </r>
  </si>
  <si>
    <r>
      <t xml:space="preserve">* </t>
    </r>
    <r>
      <rPr>
        <b/>
        <sz val="12"/>
        <color rgb="FF000000"/>
        <rFont val="Calibri"/>
        <family val="2"/>
      </rPr>
      <t xml:space="preserve">FINANCIACIÓN 120, </t>
    </r>
    <r>
      <rPr>
        <sz val="12"/>
        <color rgb="FF000000"/>
        <rFont val="Calibri"/>
        <family val="2"/>
      </rPr>
      <t>EN PESOS, 5</t>
    </r>
    <r>
      <rPr>
        <b/>
        <sz val="12"/>
        <color rgb="FF000000"/>
        <rFont val="Calibri"/>
        <family val="2"/>
      </rPr>
      <t xml:space="preserve"> CHEQUES a 0, 30 60 90 Y 120 EN PESOS</t>
    </r>
    <r>
      <rPr>
        <sz val="12"/>
        <color rgb="FF000000"/>
        <rFont val="Calibri"/>
        <family val="2"/>
      </rPr>
      <t xml:space="preserve"> SIN INTERES.</t>
    </r>
  </si>
  <si>
    <r>
      <t xml:space="preserve">* </t>
    </r>
    <r>
      <rPr>
        <b/>
        <sz val="12"/>
        <color rgb="FF000000"/>
        <rFont val="Calibri"/>
        <family val="2"/>
      </rPr>
      <t>FINANCIACIÓN A 120 DÍAS</t>
    </r>
    <r>
      <rPr>
        <sz val="12"/>
        <color rgb="FF000000"/>
        <rFont val="Calibri"/>
        <family val="2"/>
      </rPr>
      <t xml:space="preserve"> EN PESOS, SIN INTERES, 5</t>
    </r>
    <r>
      <rPr>
        <b/>
        <sz val="12"/>
        <color rgb="FF000000"/>
        <rFont val="Calibri"/>
        <family val="2"/>
      </rPr>
      <t xml:space="preserve"> CHEQUES DE 0, 30 60 90 Y 120 EN PESOS</t>
    </r>
    <r>
      <rPr>
        <sz val="12"/>
        <color rgb="FF000000"/>
        <rFont val="Calibri"/>
        <family val="2"/>
      </rPr>
      <t xml:space="preserve"> SIN INTERES.</t>
    </r>
  </si>
  <si>
    <r>
      <rPr>
        <b/>
        <sz val="11"/>
        <color rgb="FF000000"/>
        <rFont val="Calibri"/>
        <family val="2"/>
      </rPr>
      <t>*FINANCIACIÓN</t>
    </r>
    <r>
      <rPr>
        <sz val="11"/>
        <color rgb="FF000000"/>
        <rFont val="Calibri"/>
        <family val="2"/>
      </rPr>
      <t xml:space="preserve"> con </t>
    </r>
    <r>
      <rPr>
        <b/>
        <sz val="11"/>
        <color rgb="FF000000"/>
        <rFont val="Calibri"/>
        <family val="2"/>
      </rPr>
      <t>ANTICIPO 25%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alibri"/>
        <family val="2"/>
      </rPr>
      <t>y</t>
    </r>
    <r>
      <rPr>
        <sz val="11"/>
        <color rgb="FF000000"/>
        <rFont val="Calibri"/>
        <family val="2"/>
      </rPr>
      <t xml:space="preserve"> SALDO EN </t>
    </r>
    <r>
      <rPr>
        <b/>
        <sz val="11"/>
        <color rgb="FF000000"/>
        <rFont val="Calibri"/>
        <family val="2"/>
      </rPr>
      <t>12 CHEQUES</t>
    </r>
    <r>
      <rPr>
        <sz val="11"/>
        <color rgb="FF000000"/>
        <rFont val="Calibri"/>
        <family val="2"/>
      </rPr>
      <t xml:space="preserve"> AJUSTABLES, QUE SERIAN DESDE 30, 60,…hasta..., 330, 360 DIAS. </t>
    </r>
  </si>
  <si>
    <r>
      <t xml:space="preserve">*Mediante </t>
    </r>
    <r>
      <rPr>
        <b/>
        <sz val="11"/>
        <color rgb="FF000000"/>
        <rFont val="Calibri"/>
        <family val="2"/>
      </rPr>
      <t>CANJE CEREAL con AGROCANJE</t>
    </r>
    <r>
      <rPr>
        <sz val="11"/>
        <color rgb="FF000000"/>
        <rFont val="Calibri"/>
        <family val="2"/>
      </rPr>
      <t xml:space="preserve">:  </t>
    </r>
    <r>
      <rPr>
        <b/>
        <sz val="11"/>
        <color rgb="FF000000"/>
        <rFont val="Calibri"/>
        <family val="2"/>
      </rPr>
      <t>ANTICIPO DEL 30%</t>
    </r>
    <r>
      <rPr>
        <sz val="11"/>
        <color rgb="FF000000"/>
        <rFont val="Calibri"/>
        <family val="2"/>
      </rPr>
      <t xml:space="preserve"> EN $$, Y </t>
    </r>
    <r>
      <rPr>
        <b/>
        <sz val="11"/>
        <color rgb="FF000000"/>
        <rFont val="Calibri"/>
        <family val="2"/>
      </rPr>
      <t>2 ENTREGAS DE CEREAL</t>
    </r>
    <r>
      <rPr>
        <sz val="11"/>
        <color rgb="FF000000"/>
        <rFont val="Calibri"/>
        <family val="2"/>
      </rPr>
      <t xml:space="preserve"> A 6 Y 12 MESES MAXIMO.</t>
    </r>
  </si>
  <si>
    <r>
      <t xml:space="preserve">Equipo piloto automático </t>
    </r>
    <r>
      <rPr>
        <b/>
        <sz val="12"/>
        <color rgb="FF000000"/>
        <rFont val="Calibri"/>
        <family val="2"/>
      </rPr>
      <t>INTEGRA 6000</t>
    </r>
    <r>
      <rPr>
        <b/>
        <sz val="10"/>
        <color rgb="FF000000"/>
        <rFont val="Calibri"/>
        <family val="2"/>
      </rPr>
      <t xml:space="preserve">, pantalla 10 pulg. táctil, con </t>
    </r>
    <r>
      <rPr>
        <b/>
        <sz val="12"/>
        <color rgb="FF000000"/>
        <rFont val="Calibri"/>
        <family val="2"/>
      </rPr>
      <t>Giro</t>
    </r>
    <r>
      <rPr>
        <b/>
        <sz val="11"/>
        <color rgb="FF000000"/>
        <rFont val="Calibri"/>
        <family val="2"/>
      </rPr>
      <t xml:space="preserve"> en Cabecera</t>
    </r>
    <r>
      <rPr>
        <b/>
        <sz val="10"/>
        <color rgb="FF000000"/>
        <rFont val="Calibri"/>
        <family val="2"/>
      </rPr>
      <t xml:space="preserve">, Antena SURVEY L1,  volante con motor eléctrico, y </t>
    </r>
    <r>
      <rPr>
        <b/>
        <sz val="12"/>
        <color rgb="FF000000"/>
        <rFont val="Calibri"/>
        <family val="2"/>
      </rPr>
      <t>Antena con base portatil RTK</t>
    </r>
    <r>
      <rPr>
        <b/>
        <sz val="11"/>
        <color rgb="FF000000"/>
        <rFont val="Calibri"/>
        <family val="2"/>
      </rPr>
      <t>,</t>
    </r>
    <r>
      <rPr>
        <b/>
        <sz val="10"/>
        <color rgb="FF000000"/>
        <rFont val="Calibri"/>
        <family val="2"/>
      </rPr>
      <t xml:space="preserve"> con precisión de </t>
    </r>
    <r>
      <rPr>
        <b/>
        <sz val="12"/>
        <color rgb="FF000000"/>
        <rFont val="Calibri"/>
        <family val="2"/>
      </rPr>
      <t>2,5 cm</t>
    </r>
  </si>
  <si>
    <r>
      <t xml:space="preserve">Equipo piloto automático </t>
    </r>
    <r>
      <rPr>
        <b/>
        <sz val="12"/>
        <color rgb="FF000000"/>
        <rFont val="Calibri"/>
        <family val="2"/>
      </rPr>
      <t>INTEGRA 6000</t>
    </r>
    <r>
      <rPr>
        <b/>
        <sz val="10"/>
        <color rgb="FF000000"/>
        <rFont val="Calibri"/>
        <family val="2"/>
      </rPr>
      <t xml:space="preserve">, pantalla 10 pulg., con </t>
    </r>
    <r>
      <rPr>
        <b/>
        <sz val="12"/>
        <color rgb="FF000000"/>
        <rFont val="Calibri"/>
        <family val="2"/>
      </rPr>
      <t>Giro</t>
    </r>
    <r>
      <rPr>
        <b/>
        <sz val="10"/>
        <color rgb="FF000000"/>
        <rFont val="Calibri"/>
        <family val="2"/>
      </rPr>
      <t xml:space="preserve"> en Cabec., Antena SURVEY L1 (compatible pero SIN base RTK, no apto para abonos),  volante con motor eléc., con </t>
    </r>
    <r>
      <rPr>
        <b/>
        <sz val="11"/>
        <color rgb="FF000000"/>
        <rFont val="Calibri"/>
        <family val="2"/>
      </rPr>
      <t>señal libre</t>
    </r>
    <r>
      <rPr>
        <b/>
        <sz val="10"/>
        <color rgb="FF000000"/>
        <rFont val="Calibri"/>
        <family val="2"/>
      </rPr>
      <t xml:space="preserve"> con precisión de </t>
    </r>
    <r>
      <rPr>
        <b/>
        <sz val="12"/>
        <color rgb="FF000000"/>
        <rFont val="Calibri"/>
        <family val="2"/>
      </rPr>
      <t>15 cm</t>
    </r>
  </si>
  <si>
    <r>
      <t xml:space="preserve">PILOTOS ControlAgro                                                             </t>
    </r>
    <r>
      <rPr>
        <b/>
        <sz val="20"/>
        <color rgb="FF000000"/>
        <rFont val="Arial"/>
        <family val="2"/>
      </rPr>
      <t xml:space="preserve"> INTEGRA 6000 </t>
    </r>
    <r>
      <rPr>
        <b/>
        <sz val="12"/>
        <color rgb="FF000000"/>
        <rFont val="Arial"/>
        <family val="2"/>
      </rPr>
      <t xml:space="preserve">c/Giro en Cabecera           </t>
    </r>
    <r>
      <rPr>
        <b/>
        <sz val="14"/>
        <color rgb="FF000000"/>
        <rFont val="Arial"/>
        <family val="2"/>
      </rPr>
      <t xml:space="preserve">                                                                            </t>
    </r>
  </si>
  <si>
    <r>
      <rPr>
        <b/>
        <sz val="11"/>
        <color rgb="FF000000"/>
        <rFont val="Calibri"/>
        <family val="2"/>
      </rPr>
      <t>*FINANCIACIÓN</t>
    </r>
    <r>
      <rPr>
        <sz val="11"/>
        <color rgb="FF000000"/>
        <rFont val="Calibri"/>
        <family val="2"/>
      </rPr>
      <t xml:space="preserve"> con </t>
    </r>
    <r>
      <rPr>
        <b/>
        <sz val="11"/>
        <color rgb="FF000000"/>
        <rFont val="Calibri"/>
        <family val="2"/>
      </rPr>
      <t>ANTICIPO 25%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alibri"/>
        <family val="2"/>
      </rPr>
      <t>y</t>
    </r>
    <r>
      <rPr>
        <sz val="11"/>
        <color rgb="FF000000"/>
        <rFont val="Calibri"/>
        <family val="2"/>
      </rPr>
      <t xml:space="preserve"> SALDO EN </t>
    </r>
    <r>
      <rPr>
        <b/>
        <sz val="11"/>
        <color rgb="FF000000"/>
        <rFont val="Calibri"/>
        <family val="2"/>
      </rPr>
      <t>11 CHEQUES</t>
    </r>
    <r>
      <rPr>
        <sz val="11"/>
        <color rgb="FF000000"/>
        <rFont val="Calibri"/>
        <family val="2"/>
      </rPr>
      <t xml:space="preserve"> AJUSTABLES, QUE SERIAN DESDE 30, 60,..hasta..., 330, 360 DIAS. </t>
    </r>
  </si>
  <si>
    <t>Lista 0225</t>
  </si>
  <si>
    <t>Equipo piloto automático INTEGRA 6000, pantalla 10 pulg. táctil, con giro en cabecera,  volante con motor eléctrico y antena NOVATEL L1-L2 con SEÑAL LIBRE de 15 cm de PRECISION.</t>
  </si>
  <si>
    <r>
      <t xml:space="preserve">Equipo piloto automático </t>
    </r>
    <r>
      <rPr>
        <b/>
        <sz val="12"/>
        <color rgb="FF000000"/>
        <rFont val="Calibri"/>
        <family val="2"/>
      </rPr>
      <t>INTEGRA 6000</t>
    </r>
    <r>
      <rPr>
        <b/>
        <sz val="10"/>
        <color rgb="FF000000"/>
        <rFont val="Calibri"/>
        <family val="2"/>
      </rPr>
      <t xml:space="preserve">, pantalla 10 pulg. táctil, con Giro en Cabecera,  volante con motor eléctrico y antena NOVATEL L1-L2 con </t>
    </r>
    <r>
      <rPr>
        <b/>
        <sz val="12"/>
        <color rgb="FF000000"/>
        <rFont val="Calibri"/>
        <family val="2"/>
      </rPr>
      <t>señal libre</t>
    </r>
    <r>
      <rPr>
        <b/>
        <sz val="10"/>
        <color rgb="FF000000"/>
        <rFont val="Calibri"/>
        <family val="2"/>
      </rPr>
      <t xml:space="preserve"> de </t>
    </r>
    <r>
      <rPr>
        <b/>
        <sz val="12"/>
        <color rgb="FF000000"/>
        <rFont val="Calibri"/>
        <family val="2"/>
      </rPr>
      <t>15 cm</t>
    </r>
  </si>
  <si>
    <t>FINANCIACIÓN EN DOLARES AJUSTABLE: excepto Banderilleros</t>
  </si>
  <si>
    <t>Tipo de activación y abono</t>
  </si>
  <si>
    <t>Precio</t>
  </si>
  <si>
    <t>Antena NOVATEL L1-L2 ACTIVACIÓN SIN abono 15 CM</t>
  </si>
  <si>
    <t>Antena NOVATEL L1-L2 ACTIVACIÓN y  ABONO TRIMESTRAL 2,5 CM</t>
  </si>
  <si>
    <t>Antena NOVATEL L1-L2 ACTIVACIÓN y ABONO ANUAL 2,5 CM</t>
  </si>
  <si>
    <t>SURVEY L1 CON base portátil RTK</t>
  </si>
  <si>
    <t>SURVEY L1 SIN base portátil RTK</t>
  </si>
  <si>
    <t>Abono ANUAL: con corr. TERRASTAR C PRO de 2,5 cm.</t>
  </si>
  <si>
    <t>Abono TRIMESTRAL: con corr. TERRASTAR C PRO de 2,5 cm.</t>
  </si>
  <si>
    <t>ACTIVACION de la ANTENA NOVATEL para TERRASTAR C PRO (única vez)</t>
  </si>
  <si>
    <t>Antena NOVATEL L1-L2 Señal libre de 15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</si>
</sst>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$&quot;\ * #,##0.00_-;\-&quot;$&quot;\ * #,##0.00_-;_-&quot;$&quot;\ * &quot;-&quot;??_-;_-@_-"/>
    <numFmt numFmtId="165" formatCode="_ [$USD]\ * #,##0_ ;_ [$USD]\ * \-#,##0_ ;_ [$USD]\ * &quot;-&quot;_ ;_ @_ "/>
    <numFmt numFmtId="166" formatCode="_-[$USD]\ * #,##0.00_-;\-[$USD]\ * #,##0.00_-;_-[$USD]\ * &quot;-&quot;??_-;_-@_-"/>
    <numFmt numFmtId="167" formatCode="&quot;$&quot;\ #,##0.00"/>
    <numFmt numFmtId="168" formatCode="_-[$USD]\ * #,##0_-;\-[$USD]\ * #,##0_-;_-[$USD]\ * &quot;-&quot;??_-;_-@_-"/>
    <numFmt numFmtId="169" formatCode="_-[$USD]\ * #,##0_-;\-[$USD]\ * #,##0_-;_-[$USD]\ * &quot;-&quot;_-;_-@_-"/>
    <numFmt numFmtId="170" formatCode="[$USD]\ #,##0.00"/>
    <numFmt numFmtId="171" formatCode="[$USD]\ #,##0"/>
  </numFmts>
  <fonts count="26" x14ac:knownFonts="1">
    <font>
      <sz val="11"/>
      <color rgb="FF000000"/>
      <name val="Calibri"/>
    </font>
    <font>
      <sz val="11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FF0000"/>
      <name val="Arial"/>
      <family val="2"/>
    </font>
    <font>
      <sz val="8"/>
      <color rgb="FFFF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6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b/>
      <sz val="14"/>
      <color rgb="FF000000"/>
      <name val="Calibri"/>
      <family val="2"/>
    </font>
    <font>
      <b/>
      <sz val="9"/>
      <color rgb="FF000000"/>
      <name val="Arial"/>
      <family val="2"/>
    </font>
    <font>
      <sz val="12"/>
      <color rgb="FF000000"/>
      <name val="Calibri"/>
      <family val="2"/>
    </font>
    <font>
      <b/>
      <sz val="20"/>
      <color rgb="FF000000"/>
      <name val="Arial"/>
      <family val="2"/>
    </font>
    <font>
      <b/>
      <sz val="20"/>
      <color rgb="FF000000"/>
      <name val="Calibri"/>
      <family val="2"/>
    </font>
    <font>
      <b/>
      <sz val="12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DAEFC3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59999389629810485"/>
        <bgColor rgb="FFFFFFFF"/>
      </patternFill>
    </fill>
    <fill>
      <patternFill patternType="solid">
        <fgColor rgb="FFC6E47A"/>
        <bgColor rgb="FF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129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 applyAlignment="1">
      <alignment horizontal="left" vertical="center"/>
    </xf>
    <xf numFmtId="0" fontId="0" fillId="3" borderId="0" xfId="0" applyFill="1"/>
    <xf numFmtId="0" fontId="0" fillId="4" borderId="1" xfId="0" applyFill="1" applyBorder="1"/>
    <xf numFmtId="0" fontId="0" fillId="2" borderId="3" xfId="0" applyFill="1" applyBorder="1"/>
    <xf numFmtId="0" fontId="0" fillId="0" borderId="0" xfId="0" applyAlignment="1">
      <alignment horizontal="center"/>
    </xf>
    <xf numFmtId="166" fontId="13" fillId="4" borderId="3" xfId="0" applyNumberFormat="1" applyFont="1" applyFill="1" applyBorder="1" applyAlignment="1">
      <alignment vertical="center"/>
    </xf>
    <xf numFmtId="0" fontId="0" fillId="0" borderId="0" xfId="0" applyAlignment="1">
      <alignment horizontal="center" wrapText="1"/>
    </xf>
    <xf numFmtId="0" fontId="0" fillId="3" borderId="3" xfId="0" applyFill="1" applyBorder="1"/>
    <xf numFmtId="0" fontId="14" fillId="4" borderId="2" xfId="0" applyFont="1" applyFill="1" applyBorder="1" applyAlignment="1">
      <alignment vertical="center" wrapText="1"/>
    </xf>
    <xf numFmtId="165" fontId="0" fillId="4" borderId="8" xfId="0" applyNumberFormat="1" applyFill="1" applyBorder="1" applyAlignment="1">
      <alignment horizontal="right" vertical="center"/>
    </xf>
    <xf numFmtId="0" fontId="3" fillId="5" borderId="7" xfId="0" applyFont="1" applyFill="1" applyBorder="1" applyAlignment="1">
      <alignment horizontal="center" vertical="center" wrapText="1"/>
    </xf>
    <xf numFmtId="0" fontId="0" fillId="0" borderId="3" xfId="0" applyBorder="1"/>
    <xf numFmtId="0" fontId="14" fillId="4" borderId="3" xfId="0" applyFont="1" applyFill="1" applyBorder="1" applyAlignment="1">
      <alignment vertical="center"/>
    </xf>
    <xf numFmtId="165" fontId="4" fillId="4" borderId="7" xfId="0" applyNumberFormat="1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2" fillId="4" borderId="1" xfId="0" applyFont="1" applyFill="1" applyBorder="1"/>
    <xf numFmtId="167" fontId="17" fillId="4" borderId="3" xfId="1" applyNumberFormat="1" applyFont="1" applyFill="1" applyBorder="1" applyAlignment="1">
      <alignment horizontal="center" vertical="center"/>
    </xf>
    <xf numFmtId="167" fontId="18" fillId="4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/>
    <xf numFmtId="169" fontId="12" fillId="3" borderId="15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/>
    </xf>
    <xf numFmtId="0" fontId="0" fillId="4" borderId="3" xfId="0" applyFill="1" applyBorder="1"/>
    <xf numFmtId="0" fontId="9" fillId="4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" fillId="0" borderId="3" xfId="0" applyFont="1" applyBorder="1"/>
    <xf numFmtId="168" fontId="12" fillId="3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vertical="center" wrapText="1"/>
    </xf>
    <xf numFmtId="0" fontId="19" fillId="2" borderId="1" xfId="0" applyFont="1" applyFill="1" applyBorder="1"/>
    <xf numFmtId="170" fontId="12" fillId="4" borderId="7" xfId="0" applyNumberFormat="1" applyFont="1" applyFill="1" applyBorder="1" applyAlignment="1">
      <alignment horizontal="center" vertical="center"/>
    </xf>
    <xf numFmtId="171" fontId="0" fillId="4" borderId="8" xfId="0" applyNumberFormat="1" applyFill="1" applyBorder="1" applyAlignment="1">
      <alignment horizontal="center" vertical="center"/>
    </xf>
    <xf numFmtId="171" fontId="4" fillId="4" borderId="7" xfId="0" applyNumberFormat="1" applyFont="1" applyFill="1" applyBorder="1" applyAlignment="1">
      <alignment horizontal="center" vertical="center"/>
    </xf>
    <xf numFmtId="171" fontId="0" fillId="4" borderId="4" xfId="0" applyNumberFormat="1" applyFill="1" applyBorder="1" applyAlignment="1">
      <alignment horizontal="center" vertical="center"/>
    </xf>
    <xf numFmtId="171" fontId="12" fillId="4" borderId="7" xfId="0" applyNumberFormat="1" applyFont="1" applyFill="1" applyBorder="1" applyAlignment="1">
      <alignment horizontal="center" vertical="center"/>
    </xf>
    <xf numFmtId="171" fontId="4" fillId="2" borderId="7" xfId="0" applyNumberFormat="1" applyFont="1" applyFill="1" applyBorder="1" applyAlignment="1">
      <alignment horizontal="center" vertical="center" wrapText="1"/>
    </xf>
    <xf numFmtId="165" fontId="0" fillId="4" borderId="4" xfId="0" applyNumberFormat="1" applyFill="1" applyBorder="1" applyAlignment="1">
      <alignment horizontal="center" vertical="center"/>
    </xf>
    <xf numFmtId="171" fontId="0" fillId="2" borderId="8" xfId="0" applyNumberFormat="1" applyFill="1" applyBorder="1" applyAlignment="1">
      <alignment horizontal="center" vertical="center"/>
    </xf>
    <xf numFmtId="0" fontId="12" fillId="0" borderId="0" xfId="0" applyFont="1"/>
    <xf numFmtId="0" fontId="0" fillId="0" borderId="3" xfId="0" applyBorder="1" applyAlignment="1">
      <alignment horizontal="center"/>
    </xf>
    <xf numFmtId="0" fontId="0" fillId="0" borderId="14" xfId="0" applyBorder="1"/>
    <xf numFmtId="0" fontId="4" fillId="3" borderId="0" xfId="0" applyFont="1" applyFill="1"/>
    <xf numFmtId="0" fontId="4" fillId="0" borderId="0" xfId="0" applyFont="1"/>
    <xf numFmtId="0" fontId="4" fillId="2" borderId="3" xfId="0" applyFont="1" applyFill="1" applyBorder="1" applyAlignment="1">
      <alignment vertical="center"/>
    </xf>
    <xf numFmtId="0" fontId="21" fillId="4" borderId="1" xfId="0" applyFont="1" applyFill="1" applyBorder="1"/>
    <xf numFmtId="0" fontId="4" fillId="4" borderId="1" xfId="0" applyFont="1" applyFill="1" applyBorder="1"/>
    <xf numFmtId="167" fontId="18" fillId="4" borderId="1" xfId="0" applyNumberFormat="1" applyFont="1" applyFill="1" applyBorder="1" applyAlignment="1">
      <alignment horizontal="left"/>
    </xf>
    <xf numFmtId="0" fontId="4" fillId="0" borderId="3" xfId="0" applyFont="1" applyBorder="1"/>
    <xf numFmtId="0" fontId="21" fillId="4" borderId="3" xfId="0" applyFont="1" applyFill="1" applyBorder="1"/>
    <xf numFmtId="167" fontId="17" fillId="4" borderId="3" xfId="1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right"/>
    </xf>
    <xf numFmtId="0" fontId="14" fillId="4" borderId="3" xfId="0" applyFont="1" applyFill="1" applyBorder="1"/>
    <xf numFmtId="167" fontId="17" fillId="4" borderId="1" xfId="0" applyNumberFormat="1" applyFont="1" applyFill="1" applyBorder="1" applyAlignment="1">
      <alignment horizontal="left"/>
    </xf>
    <xf numFmtId="0" fontId="11" fillId="6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vertical="center"/>
    </xf>
    <xf numFmtId="0" fontId="2" fillId="6" borderId="13" xfId="0" applyFont="1" applyFill="1" applyBorder="1" applyAlignment="1">
      <alignment vertical="center"/>
    </xf>
    <xf numFmtId="0" fontId="11" fillId="6" borderId="12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vertical="center" wrapText="1"/>
    </xf>
    <xf numFmtId="0" fontId="1" fillId="6" borderId="9" xfId="0" applyFont="1" applyFill="1" applyBorder="1"/>
    <xf numFmtId="0" fontId="1" fillId="6" borderId="10" xfId="0" applyFont="1" applyFill="1" applyBorder="1"/>
    <xf numFmtId="0" fontId="4" fillId="6" borderId="12" xfId="0" applyFont="1" applyFill="1" applyBorder="1" applyAlignment="1">
      <alignment vertical="center"/>
    </xf>
    <xf numFmtId="0" fontId="21" fillId="4" borderId="1" xfId="0" applyFont="1" applyFill="1" applyBorder="1" applyAlignment="1">
      <alignment horizontal="center" vertical="center"/>
    </xf>
    <xf numFmtId="0" fontId="10" fillId="3" borderId="3" xfId="0" applyFont="1" applyFill="1" applyBorder="1"/>
    <xf numFmtId="167" fontId="17" fillId="4" borderId="3" xfId="1" applyNumberFormat="1" applyFont="1" applyFill="1" applyBorder="1" applyAlignment="1">
      <alignment horizontal="center"/>
    </xf>
    <xf numFmtId="0" fontId="22" fillId="0" borderId="0" xfId="0" applyFont="1"/>
    <xf numFmtId="0" fontId="22" fillId="0" borderId="3" xfId="0" applyFont="1" applyBorder="1"/>
    <xf numFmtId="170" fontId="4" fillId="4" borderId="7" xfId="0" applyNumberFormat="1" applyFont="1" applyFill="1" applyBorder="1" applyAlignment="1">
      <alignment horizontal="center" vertical="center"/>
    </xf>
    <xf numFmtId="171" fontId="0" fillId="0" borderId="0" xfId="0" applyNumberFormat="1"/>
    <xf numFmtId="171" fontId="0" fillId="0" borderId="3" xfId="0" applyNumberFormat="1" applyBorder="1"/>
    <xf numFmtId="0" fontId="3" fillId="8" borderId="7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11" fillId="0" borderId="0" xfId="0" applyFont="1"/>
    <xf numFmtId="0" fontId="7" fillId="10" borderId="12" xfId="0" applyFont="1" applyFill="1" applyBorder="1"/>
    <xf numFmtId="0" fontId="2" fillId="10" borderId="11" xfId="0" applyFont="1" applyFill="1" applyBorder="1"/>
    <xf numFmtId="0" fontId="2" fillId="10" borderId="13" xfId="0" applyFont="1" applyFill="1" applyBorder="1"/>
    <xf numFmtId="0" fontId="11" fillId="10" borderId="12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 wrapText="1"/>
    </xf>
    <xf numFmtId="0" fontId="3" fillId="10" borderId="12" xfId="0" applyFont="1" applyFill="1" applyBorder="1"/>
    <xf numFmtId="0" fontId="9" fillId="4" borderId="3" xfId="0" applyFont="1" applyFill="1" applyBorder="1"/>
    <xf numFmtId="0" fontId="10" fillId="3" borderId="12" xfId="0" applyFont="1" applyFill="1" applyBorder="1" applyAlignment="1">
      <alignment horizontal="left" wrapText="1"/>
    </xf>
    <xf numFmtId="0" fontId="10" fillId="3" borderId="11" xfId="0" applyFont="1" applyFill="1" applyBorder="1" applyAlignment="1">
      <alignment horizontal="left" wrapText="1"/>
    </xf>
    <xf numFmtId="0" fontId="10" fillId="3" borderId="13" xfId="0" applyFont="1" applyFill="1" applyBorder="1" applyAlignment="1">
      <alignment horizontal="left" wrapText="1"/>
    </xf>
    <xf numFmtId="0" fontId="3" fillId="10" borderId="8" xfId="0" applyFont="1" applyFill="1" applyBorder="1" applyAlignment="1">
      <alignment vertical="center" wrapText="1"/>
    </xf>
    <xf numFmtId="0" fontId="1" fillId="10" borderId="9" xfId="0" applyFont="1" applyFill="1" applyBorder="1"/>
    <xf numFmtId="0" fontId="1" fillId="10" borderId="10" xfId="0" applyFont="1" applyFill="1" applyBorder="1"/>
    <xf numFmtId="0" fontId="3" fillId="9" borderId="12" xfId="0" applyFont="1" applyFill="1" applyBorder="1" applyAlignment="1">
      <alignment vertical="center" wrapText="1"/>
    </xf>
    <xf numFmtId="0" fontId="1" fillId="9" borderId="11" xfId="0" applyFont="1" applyFill="1" applyBorder="1"/>
    <xf numFmtId="0" fontId="1" fillId="9" borderId="13" xfId="0" applyFont="1" applyFill="1" applyBorder="1"/>
    <xf numFmtId="0" fontId="3" fillId="8" borderId="4" xfId="0" applyFont="1" applyFill="1" applyBorder="1" applyAlignment="1">
      <alignment vertical="center" wrapText="1"/>
    </xf>
    <xf numFmtId="0" fontId="1" fillId="8" borderId="5" xfId="0" applyFont="1" applyFill="1" applyBorder="1"/>
    <xf numFmtId="0" fontId="1" fillId="8" borderId="6" xfId="0" applyFont="1" applyFill="1" applyBorder="1"/>
    <xf numFmtId="0" fontId="3" fillId="8" borderId="8" xfId="0" applyFont="1" applyFill="1" applyBorder="1" applyAlignment="1">
      <alignment vertical="center" wrapText="1"/>
    </xf>
    <xf numFmtId="0" fontId="1" fillId="8" borderId="9" xfId="0" applyFont="1" applyFill="1" applyBorder="1"/>
    <xf numFmtId="0" fontId="1" fillId="8" borderId="10" xfId="0" applyFont="1" applyFill="1" applyBorder="1"/>
    <xf numFmtId="0" fontId="3" fillId="8" borderId="12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left" wrapText="1"/>
    </xf>
    <xf numFmtId="0" fontId="10" fillId="7" borderId="11" xfId="0" applyFont="1" applyFill="1" applyBorder="1" applyAlignment="1">
      <alignment horizontal="left" wrapText="1"/>
    </xf>
    <xf numFmtId="0" fontId="10" fillId="7" borderId="13" xfId="0" applyFont="1" applyFill="1" applyBorder="1" applyAlignment="1">
      <alignment horizontal="left" wrapText="1"/>
    </xf>
    <xf numFmtId="0" fontId="3" fillId="6" borderId="4" xfId="0" applyFont="1" applyFill="1" applyBorder="1" applyAlignment="1">
      <alignment vertical="center" wrapText="1"/>
    </xf>
    <xf numFmtId="0" fontId="1" fillId="6" borderId="5" xfId="0" applyFont="1" applyFill="1" applyBorder="1"/>
    <xf numFmtId="0" fontId="1" fillId="6" borderId="6" xfId="0" applyFont="1" applyFill="1" applyBorder="1"/>
    <xf numFmtId="0" fontId="3" fillId="6" borderId="8" xfId="0" applyFont="1" applyFill="1" applyBorder="1" applyAlignment="1">
      <alignment vertical="center" wrapText="1"/>
    </xf>
    <xf numFmtId="0" fontId="1" fillId="6" borderId="9" xfId="0" applyFont="1" applyFill="1" applyBorder="1"/>
    <xf numFmtId="0" fontId="1" fillId="6" borderId="10" xfId="0" applyFont="1" applyFill="1" applyBorder="1"/>
    <xf numFmtId="0" fontId="20" fillId="6" borderId="16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20" fillId="6" borderId="18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20" fillId="5" borderId="17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vertical="center" wrapText="1"/>
    </xf>
    <xf numFmtId="0" fontId="1" fillId="5" borderId="11" xfId="0" applyFont="1" applyFill="1" applyBorder="1"/>
    <xf numFmtId="0" fontId="1" fillId="5" borderId="13" xfId="0" applyFont="1" applyFill="1" applyBorder="1"/>
    <xf numFmtId="0" fontId="3" fillId="5" borderId="12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C6E47A"/>
      <color rgb="FFDAEFC3"/>
      <color rgb="FFB2D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172938</xdr:rowOff>
    </xdr:from>
    <xdr:ext cx="1743075" cy="651060"/>
    <xdr:pic>
      <xdr:nvPicPr>
        <xdr:cNvPr id="4" name="Imagen 3">
          <a:extLst>
            <a:ext uri="{FF2B5EF4-FFF2-40B4-BE49-F238E27FC236}">
              <a16:creationId xmlns:a16="http://schemas.microsoft.com/office/drawing/2014/main" id="{B46B41BE-CD29-4A60-A082-8B7804E28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172938"/>
          <a:ext cx="1743075" cy="651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95632</xdr:colOff>
      <xdr:row>0</xdr:row>
      <xdr:rowOff>190500</xdr:rowOff>
    </xdr:from>
    <xdr:ext cx="1504569" cy="561975"/>
    <xdr:pic>
      <xdr:nvPicPr>
        <xdr:cNvPr id="2" name="Imagen 1">
          <a:extLst>
            <a:ext uri="{FF2B5EF4-FFF2-40B4-BE49-F238E27FC236}">
              <a16:creationId xmlns:a16="http://schemas.microsoft.com/office/drawing/2014/main" id="{55916A5E-2F65-4A3C-91C9-1C1B6FDD7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707" y="190500"/>
          <a:ext cx="1504569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358349</xdr:colOff>
      <xdr:row>0</xdr:row>
      <xdr:rowOff>180975</xdr:rowOff>
    </xdr:from>
    <xdr:ext cx="1708578" cy="638175"/>
    <xdr:pic>
      <xdr:nvPicPr>
        <xdr:cNvPr id="2" name="Imagen 1">
          <a:extLst>
            <a:ext uri="{FF2B5EF4-FFF2-40B4-BE49-F238E27FC236}">
              <a16:creationId xmlns:a16="http://schemas.microsoft.com/office/drawing/2014/main" id="{1B9036B5-825E-4E50-90DE-86917D0EE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2774" y="180975"/>
          <a:ext cx="1708578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5D08-2E8D-3D4F-9E96-AF37316E2AD0}">
  <dimension ref="A1:B10"/>
  <sheetViews>
    <sheetView tabSelected="1" zoomScale="120" zoomScaleNormal="120" workbookViewId="0">
      <selection activeCell="A3" sqref="A3"/>
    </sheetView>
  </sheetViews>
  <sheetFormatPr baseColWidth="10" defaultRowHeight="15" x14ac:dyDescent="0.2"/>
  <cols>
    <col min="1" max="1" width="52.6640625" bestFit="1" customWidth="1"/>
  </cols>
  <sheetData>
    <row r="1" spans="1:2" x14ac:dyDescent="0.2">
      <c r="A1" t="s">
        <v>55</v>
      </c>
      <c r="B1" t="s">
        <v>56</v>
      </c>
    </row>
    <row r="2" spans="1:2" x14ac:dyDescent="0.2">
      <c r="A2" s="41" t="s">
        <v>65</v>
      </c>
      <c r="B2" cm="1">
        <f t="array" ref="B2:B5">'lista de precios 824'!F4:F7</f>
        <v>16575</v>
      </c>
    </row>
    <row r="3" spans="1:2" x14ac:dyDescent="0.2">
      <c r="A3" t="s">
        <v>57</v>
      </c>
      <c r="B3">
        <v>17990.7</v>
      </c>
    </row>
    <row r="4" spans="1:2" x14ac:dyDescent="0.2">
      <c r="A4" t="s">
        <v>58</v>
      </c>
      <c r="B4">
        <v>18946.600000000002</v>
      </c>
    </row>
    <row r="5" spans="1:2" x14ac:dyDescent="0.2">
      <c r="A5" t="s">
        <v>59</v>
      </c>
      <c r="B5">
        <v>19660.5</v>
      </c>
    </row>
    <row r="6" spans="1:2" x14ac:dyDescent="0.2">
      <c r="A6" t="s">
        <v>60</v>
      </c>
      <c r="B6">
        <f>'lista de precios 824'!F18</f>
        <v>16575</v>
      </c>
    </row>
    <row r="7" spans="1:2" x14ac:dyDescent="0.2">
      <c r="A7" t="s">
        <v>61</v>
      </c>
      <c r="B7">
        <f>'lista de precios 824'!F19</f>
        <v>13812.5</v>
      </c>
    </row>
    <row r="8" spans="1:2" x14ac:dyDescent="0.2">
      <c r="A8" s="41" t="s">
        <v>62</v>
      </c>
      <c r="B8">
        <f>'lista de precios 824'!F12</f>
        <v>1669.8</v>
      </c>
    </row>
    <row r="9" spans="1:2" x14ac:dyDescent="0.2">
      <c r="A9" s="41" t="s">
        <v>63</v>
      </c>
      <c r="B9">
        <f>'lista de precios 824'!F13</f>
        <v>955.9</v>
      </c>
    </row>
    <row r="10" spans="1:2" x14ac:dyDescent="0.2">
      <c r="A10" s="41" t="s">
        <v>64</v>
      </c>
      <c r="B10">
        <f>'lista de precios 824'!F14</f>
        <v>1415.7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58"/>
  <sheetViews>
    <sheetView topLeftCell="A4" zoomScale="120" zoomScaleNormal="120" workbookViewId="0">
      <selection activeCell="B13" sqref="B13:D14"/>
    </sheetView>
  </sheetViews>
  <sheetFormatPr baseColWidth="10" defaultColWidth="14.5" defaultRowHeight="15" customHeight="1" x14ac:dyDescent="0.2"/>
  <cols>
    <col min="1" max="1" width="2.6640625" customWidth="1"/>
    <col min="2" max="2" width="10.6640625" customWidth="1"/>
    <col min="3" max="3" width="14.83203125" customWidth="1"/>
    <col min="4" max="4" width="35.33203125" customWidth="1"/>
    <col min="5" max="5" width="31.1640625" customWidth="1"/>
    <col min="6" max="6" width="31.83203125" style="16" customWidth="1"/>
    <col min="7" max="278" width="14.5" style="16"/>
  </cols>
  <sheetData>
    <row r="1" spans="1:278" ht="63" customHeight="1" x14ac:dyDescent="0.2">
      <c r="A1" s="7"/>
      <c r="B1" s="13" t="s">
        <v>51</v>
      </c>
      <c r="C1" s="104" t="s">
        <v>49</v>
      </c>
      <c r="D1" s="104"/>
      <c r="E1" s="104"/>
      <c r="F1" s="31"/>
    </row>
    <row r="2" spans="1:278" s="16" customFormat="1" ht="36" customHeight="1" x14ac:dyDescent="0.2">
      <c r="B2" s="25" t="s">
        <v>38</v>
      </c>
      <c r="C2" s="23"/>
      <c r="D2" s="23"/>
      <c r="E2" s="24"/>
      <c r="F2" s="24"/>
    </row>
    <row r="3" spans="1:278" ht="26.25" customHeight="1" x14ac:dyDescent="0.2">
      <c r="A3" s="6"/>
      <c r="B3" s="98" t="s">
        <v>2</v>
      </c>
      <c r="C3" s="99"/>
      <c r="D3" s="100"/>
      <c r="E3" s="73" t="s">
        <v>0</v>
      </c>
      <c r="F3" s="73" t="s">
        <v>1</v>
      </c>
    </row>
    <row r="4" spans="1:278" ht="49.5" customHeight="1" x14ac:dyDescent="0.2">
      <c r="A4" s="1"/>
      <c r="B4" s="105" t="s">
        <v>53</v>
      </c>
      <c r="C4" s="106"/>
      <c r="D4" s="107"/>
      <c r="E4" s="37">
        <v>15000</v>
      </c>
      <c r="F4" s="35">
        <f>+E4*1.105</f>
        <v>16575</v>
      </c>
    </row>
    <row r="5" spans="1:278" ht="49.5" customHeight="1" x14ac:dyDescent="0.2">
      <c r="A5" s="1"/>
      <c r="B5" s="92" t="s">
        <v>39</v>
      </c>
      <c r="C5" s="93"/>
      <c r="D5" s="94"/>
      <c r="E5" s="37">
        <f>'lista de precios 824'!E4+E14</f>
        <v>16170</v>
      </c>
      <c r="F5" s="35">
        <f>('lista de precios 824'!E4 * 1.105)+F14</f>
        <v>17990.7</v>
      </c>
      <c r="G5" s="71"/>
      <c r="H5" s="71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</row>
    <row r="6" spans="1:278" ht="49.5" customHeight="1" x14ac:dyDescent="0.2">
      <c r="A6" s="1"/>
      <c r="B6" s="92" t="s">
        <v>40</v>
      </c>
      <c r="C6" s="93"/>
      <c r="D6" s="94"/>
      <c r="E6" s="37">
        <f>'lista de precios 824'!E4+E14+E13</f>
        <v>16960</v>
      </c>
      <c r="F6" s="35">
        <f>('lista de precios 824'!E4 * 1.105)+F13+F14</f>
        <v>18946.600000000002</v>
      </c>
      <c r="G6" s="71"/>
      <c r="H6" s="71"/>
      <c r="I6"/>
      <c r="J6" s="71"/>
      <c r="K6" s="71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</row>
    <row r="7" spans="1:278" ht="49.5" customHeight="1" x14ac:dyDescent="0.2">
      <c r="A7" s="1"/>
      <c r="B7" s="92" t="s">
        <v>41</v>
      </c>
      <c r="C7" s="93"/>
      <c r="D7" s="94"/>
      <c r="E7" s="37">
        <f>'lista de precios 824'!E4+E14+E12</f>
        <v>17550</v>
      </c>
      <c r="F7" s="35">
        <f>('lista de precios 824'!E4 * 1.105)+F14+F12</f>
        <v>19660.5</v>
      </c>
      <c r="G7" s="71"/>
      <c r="H7" s="71"/>
      <c r="I7" s="71"/>
      <c r="J7" s="71"/>
      <c r="K7" s="71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</row>
    <row r="8" spans="1:278" x14ac:dyDescent="0.2">
      <c r="A8" s="7"/>
      <c r="B8" s="51" t="s">
        <v>18</v>
      </c>
      <c r="C8" s="17"/>
      <c r="D8" s="17"/>
      <c r="E8" s="17"/>
      <c r="F8" s="52"/>
    </row>
    <row r="9" spans="1:278" ht="15.75" customHeight="1" x14ac:dyDescent="0.2">
      <c r="B9" s="75" t="s">
        <v>23</v>
      </c>
    </row>
    <row r="10" spans="1:278" ht="28.5" customHeight="1" x14ac:dyDescent="0.2">
      <c r="A10" s="6"/>
      <c r="B10" s="82" t="s">
        <v>8</v>
      </c>
      <c r="C10" s="12"/>
      <c r="D10" s="12"/>
      <c r="E10" s="12"/>
      <c r="F10" s="12"/>
    </row>
    <row r="11" spans="1:278" ht="26.25" customHeight="1" x14ac:dyDescent="0.2">
      <c r="A11" s="6"/>
      <c r="B11" s="98" t="s">
        <v>2</v>
      </c>
      <c r="C11" s="99"/>
      <c r="D11" s="100"/>
      <c r="E11" s="73" t="s">
        <v>0</v>
      </c>
      <c r="F11" s="73" t="s">
        <v>26</v>
      </c>
    </row>
    <row r="12" spans="1:278" ht="21" customHeight="1" x14ac:dyDescent="0.2">
      <c r="A12" s="6"/>
      <c r="B12" s="95" t="s">
        <v>31</v>
      </c>
      <c r="C12" s="96"/>
      <c r="D12" s="97"/>
      <c r="E12" s="14">
        <v>1380</v>
      </c>
      <c r="F12" s="18">
        <f>E12*1.21</f>
        <v>1669.8</v>
      </c>
    </row>
    <row r="13" spans="1:278" ht="21" customHeight="1" x14ac:dyDescent="0.2">
      <c r="A13" s="6"/>
      <c r="B13" s="95" t="s">
        <v>32</v>
      </c>
      <c r="C13" s="96"/>
      <c r="D13" s="97"/>
      <c r="E13" s="39">
        <v>790</v>
      </c>
      <c r="F13" s="18">
        <f>E13*1.21</f>
        <v>955.9</v>
      </c>
    </row>
    <row r="14" spans="1:278" ht="21" customHeight="1" x14ac:dyDescent="0.2">
      <c r="A14" s="6"/>
      <c r="B14" s="92" t="s">
        <v>33</v>
      </c>
      <c r="C14" s="93"/>
      <c r="D14" s="94"/>
      <c r="E14" s="39">
        <v>1170</v>
      </c>
      <c r="F14" s="18">
        <f>E14*1.21</f>
        <v>1415.7</v>
      </c>
    </row>
    <row r="15" spans="1:278" x14ac:dyDescent="0.2">
      <c r="A15" s="7"/>
      <c r="B15" s="51" t="s">
        <v>18</v>
      </c>
      <c r="C15" s="17"/>
      <c r="D15" s="17"/>
      <c r="E15" s="17"/>
      <c r="F15" s="52"/>
    </row>
    <row r="16" spans="1:278" ht="58.5" customHeight="1" x14ac:dyDescent="0.3">
      <c r="A16" s="26"/>
      <c r="B16" s="66" t="s">
        <v>37</v>
      </c>
      <c r="C16" s="54"/>
      <c r="D16" s="54"/>
      <c r="E16" s="54"/>
      <c r="F16" s="67"/>
    </row>
    <row r="17" spans="1:278" s="9" customFormat="1" ht="30" customHeight="1" x14ac:dyDescent="0.2">
      <c r="A17" s="3"/>
      <c r="B17" s="101" t="s">
        <v>9</v>
      </c>
      <c r="C17" s="102"/>
      <c r="D17" s="103"/>
      <c r="E17" s="74" t="s">
        <v>6</v>
      </c>
      <c r="F17" s="74" t="s">
        <v>5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  <c r="JN17" s="42"/>
      <c r="JO17" s="42"/>
      <c r="JP17" s="42"/>
      <c r="JQ17" s="42"/>
      <c r="JR17" s="42"/>
    </row>
    <row r="18" spans="1:278" ht="51" customHeight="1" x14ac:dyDescent="0.2">
      <c r="A18" s="8"/>
      <c r="B18" s="89" t="s">
        <v>7</v>
      </c>
      <c r="C18" s="90"/>
      <c r="D18" s="91"/>
      <c r="E18" s="37">
        <v>15000</v>
      </c>
      <c r="F18" s="35">
        <f>+E18*1.105</f>
        <v>16575</v>
      </c>
    </row>
    <row r="19" spans="1:278" ht="51" customHeight="1" x14ac:dyDescent="0.2">
      <c r="A19" s="1"/>
      <c r="B19" s="89" t="s">
        <v>36</v>
      </c>
      <c r="C19" s="90"/>
      <c r="D19" s="91"/>
      <c r="E19" s="37">
        <v>12500</v>
      </c>
      <c r="F19" s="35">
        <f>+E19*1.105</f>
        <v>13812.5</v>
      </c>
    </row>
    <row r="20" spans="1:278" x14ac:dyDescent="0.2">
      <c r="A20" s="7"/>
      <c r="B20" s="51" t="s">
        <v>18</v>
      </c>
      <c r="C20" s="17"/>
      <c r="D20" s="17"/>
      <c r="E20" s="17"/>
      <c r="F20" s="52"/>
    </row>
    <row r="21" spans="1:278" s="16" customFormat="1" ht="25.5" customHeight="1" x14ac:dyDescent="0.2">
      <c r="B21" s="28"/>
      <c r="C21" s="23"/>
      <c r="D21" s="23"/>
      <c r="E21" s="30"/>
      <c r="F21" s="30"/>
    </row>
    <row r="22" spans="1:278" ht="16" x14ac:dyDescent="0.2">
      <c r="A22" s="2"/>
      <c r="B22" s="76" t="s">
        <v>3</v>
      </c>
      <c r="C22" s="77"/>
      <c r="D22" s="78"/>
      <c r="E22" s="79" t="s">
        <v>0</v>
      </c>
      <c r="F22" s="80" t="s">
        <v>1</v>
      </c>
    </row>
    <row r="23" spans="1:278" ht="54" customHeight="1" x14ac:dyDescent="0.2">
      <c r="A23" s="1"/>
      <c r="B23" s="86" t="s">
        <v>17</v>
      </c>
      <c r="C23" s="87"/>
      <c r="D23" s="88"/>
      <c r="E23" s="40">
        <v>3300</v>
      </c>
      <c r="F23" s="38">
        <f>+E23*1.105</f>
        <v>3646.5</v>
      </c>
    </row>
    <row r="24" spans="1:278" s="45" customFormat="1" ht="18.75" customHeight="1" x14ac:dyDescent="0.2">
      <c r="A24" s="44"/>
      <c r="B24" s="65"/>
      <c r="C24" s="48"/>
      <c r="D24" s="53"/>
      <c r="E24" s="53"/>
      <c r="F24" s="49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</row>
    <row r="25" spans="1:278" x14ac:dyDescent="0.2">
      <c r="A25" s="2"/>
      <c r="B25" s="81" t="s">
        <v>19</v>
      </c>
      <c r="C25" s="77"/>
      <c r="D25" s="78"/>
      <c r="E25" s="79" t="s">
        <v>0</v>
      </c>
      <c r="F25" s="80" t="s">
        <v>1</v>
      </c>
    </row>
    <row r="26" spans="1:278" ht="30" customHeight="1" x14ac:dyDescent="0.2">
      <c r="A26" s="1"/>
      <c r="B26" s="86" t="s">
        <v>20</v>
      </c>
      <c r="C26" s="87"/>
      <c r="D26" s="88"/>
      <c r="E26" s="40">
        <v>2500</v>
      </c>
      <c r="F26" s="38">
        <f>+E26*1.21</f>
        <v>3025</v>
      </c>
    </row>
    <row r="27" spans="1:278" x14ac:dyDescent="0.2">
      <c r="A27" s="5"/>
      <c r="B27" s="32"/>
      <c r="C27" s="5"/>
      <c r="D27" s="4"/>
      <c r="E27" s="5"/>
    </row>
    <row r="28" spans="1:278" ht="15.75" customHeight="1" x14ac:dyDescent="0.2">
      <c r="A28" s="6"/>
      <c r="B28" s="6"/>
      <c r="C28" s="6"/>
      <c r="D28" s="6"/>
      <c r="E28" s="6"/>
      <c r="F28" s="12"/>
    </row>
    <row r="29" spans="1:278" ht="18.75" customHeight="1" x14ac:dyDescent="0.25">
      <c r="A29" s="43"/>
      <c r="B29" s="83" t="s">
        <v>21</v>
      </c>
      <c r="C29" s="84"/>
      <c r="D29" s="84"/>
      <c r="E29" s="84"/>
      <c r="F29" s="85"/>
    </row>
    <row r="30" spans="1:278" s="68" customFormat="1" ht="15.75" customHeight="1" x14ac:dyDescent="0.2">
      <c r="B30" s="68" t="s">
        <v>22</v>
      </c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69"/>
      <c r="DA30" s="69"/>
      <c r="DB30" s="69"/>
      <c r="DC30" s="69"/>
      <c r="DD30" s="69"/>
      <c r="DE30" s="69"/>
      <c r="DF30" s="69"/>
      <c r="DG30" s="69"/>
      <c r="DH30" s="69"/>
      <c r="DI30" s="69"/>
      <c r="DJ30" s="69"/>
      <c r="DK30" s="69"/>
      <c r="DL30" s="69"/>
      <c r="DM30" s="69"/>
      <c r="DN30" s="69"/>
      <c r="DO30" s="69"/>
      <c r="DP30" s="69"/>
      <c r="DQ30" s="69"/>
      <c r="DR30" s="69"/>
      <c r="DS30" s="69"/>
      <c r="DT30" s="69"/>
      <c r="DU30" s="69"/>
      <c r="DV30" s="69"/>
      <c r="DW30" s="69"/>
      <c r="DX30" s="69"/>
      <c r="DY30" s="69"/>
      <c r="DZ30" s="69"/>
      <c r="EA30" s="69"/>
      <c r="EB30" s="69"/>
      <c r="EC30" s="69"/>
      <c r="ED30" s="69"/>
      <c r="EE30" s="69"/>
      <c r="EF30" s="69"/>
      <c r="EG30" s="69"/>
      <c r="EH30" s="69"/>
      <c r="EI30" s="69"/>
      <c r="EJ30" s="69"/>
      <c r="EK30" s="69"/>
      <c r="EL30" s="69"/>
      <c r="EM30" s="69"/>
      <c r="EN30" s="69"/>
      <c r="EO30" s="69"/>
      <c r="EP30" s="69"/>
      <c r="EQ30" s="69"/>
      <c r="ER30" s="69"/>
      <c r="ES30" s="69"/>
      <c r="ET30" s="69"/>
      <c r="EU30" s="69"/>
      <c r="EV30" s="69"/>
      <c r="EW30" s="69"/>
      <c r="EX30" s="69"/>
      <c r="EY30" s="69"/>
      <c r="EZ30" s="69"/>
      <c r="FA30" s="69"/>
      <c r="FB30" s="69"/>
      <c r="FC30" s="69"/>
      <c r="FD30" s="69"/>
      <c r="FE30" s="69"/>
      <c r="FF30" s="69"/>
      <c r="FG30" s="69"/>
      <c r="FH30" s="69"/>
      <c r="FI30" s="69"/>
      <c r="FJ30" s="69"/>
      <c r="FK30" s="69"/>
      <c r="FL30" s="69"/>
      <c r="FM30" s="69"/>
      <c r="FN30" s="69"/>
      <c r="FO30" s="69"/>
      <c r="FP30" s="69"/>
      <c r="FQ30" s="69"/>
      <c r="FR30" s="69"/>
      <c r="FS30" s="69"/>
      <c r="FT30" s="69"/>
      <c r="FU30" s="69"/>
      <c r="FV30" s="69"/>
      <c r="FW30" s="69"/>
      <c r="FX30" s="69"/>
      <c r="FY30" s="69"/>
      <c r="FZ30" s="69"/>
      <c r="GA30" s="69"/>
      <c r="GB30" s="69"/>
      <c r="GC30" s="69"/>
      <c r="GD30" s="69"/>
      <c r="GE30" s="69"/>
      <c r="GF30" s="69"/>
      <c r="GG30" s="69"/>
      <c r="GH30" s="69"/>
      <c r="GI30" s="69"/>
      <c r="GJ30" s="69"/>
      <c r="GK30" s="69"/>
      <c r="GL30" s="69"/>
      <c r="GM30" s="69"/>
      <c r="GN30" s="69"/>
      <c r="GO30" s="69"/>
      <c r="GP30" s="69"/>
      <c r="GQ30" s="69"/>
      <c r="GR30" s="69"/>
      <c r="GS30" s="69"/>
      <c r="GT30" s="69"/>
      <c r="GU30" s="69"/>
      <c r="GV30" s="69"/>
      <c r="GW30" s="69"/>
      <c r="GX30" s="69"/>
      <c r="GY30" s="69"/>
      <c r="GZ30" s="69"/>
      <c r="HA30" s="69"/>
      <c r="HB30" s="69"/>
      <c r="HC30" s="69"/>
      <c r="HD30" s="69"/>
      <c r="HE30" s="69"/>
      <c r="HF30" s="69"/>
      <c r="HG30" s="69"/>
      <c r="HH30" s="69"/>
      <c r="HI30" s="69"/>
      <c r="HJ30" s="69"/>
      <c r="HK30" s="69"/>
      <c r="HL30" s="69"/>
      <c r="HM30" s="69"/>
      <c r="HN30" s="69"/>
      <c r="HO30" s="69"/>
      <c r="HP30" s="69"/>
      <c r="HQ30" s="69"/>
      <c r="HR30" s="69"/>
      <c r="HS30" s="69"/>
      <c r="HT30" s="69"/>
      <c r="HU30" s="69"/>
      <c r="HV30" s="69"/>
      <c r="HW30" s="69"/>
      <c r="HX30" s="69"/>
      <c r="HY30" s="69"/>
      <c r="HZ30" s="69"/>
      <c r="IA30" s="69"/>
      <c r="IB30" s="69"/>
      <c r="IC30" s="69"/>
      <c r="ID30" s="69"/>
      <c r="IE30" s="69"/>
      <c r="IF30" s="69"/>
      <c r="IG30" s="69"/>
      <c r="IH30" s="69"/>
      <c r="II30" s="69"/>
      <c r="IJ30" s="69"/>
      <c r="IK30" s="69"/>
      <c r="IL30" s="69"/>
      <c r="IM30" s="69"/>
      <c r="IN30" s="69"/>
      <c r="IO30" s="69"/>
      <c r="IP30" s="69"/>
      <c r="IQ30" s="69"/>
      <c r="IR30" s="69"/>
      <c r="IS30" s="69"/>
      <c r="IT30" s="69"/>
      <c r="IU30" s="69"/>
      <c r="IV30" s="69"/>
      <c r="IW30" s="69"/>
      <c r="IX30" s="69"/>
      <c r="IY30" s="69"/>
      <c r="IZ30" s="69"/>
      <c r="JA30" s="69"/>
      <c r="JB30" s="69"/>
      <c r="JC30" s="69"/>
      <c r="JD30" s="69"/>
      <c r="JE30" s="69"/>
      <c r="JF30" s="69"/>
      <c r="JG30" s="69"/>
      <c r="JH30" s="69"/>
      <c r="JI30" s="69"/>
      <c r="JJ30" s="69"/>
      <c r="JK30" s="69"/>
      <c r="JL30" s="69"/>
      <c r="JM30" s="69"/>
      <c r="JN30" s="69"/>
      <c r="JO30" s="69"/>
      <c r="JP30" s="69"/>
      <c r="JQ30" s="69"/>
      <c r="JR30" s="69"/>
    </row>
    <row r="31" spans="1:278" s="68" customFormat="1" ht="15.75" customHeight="1" x14ac:dyDescent="0.2">
      <c r="B31" s="68" t="s">
        <v>43</v>
      </c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  <c r="CP31" s="69"/>
      <c r="CQ31" s="69"/>
      <c r="CR31" s="69"/>
      <c r="CS31" s="69"/>
      <c r="CT31" s="69"/>
      <c r="CU31" s="69"/>
      <c r="CV31" s="69"/>
      <c r="CW31" s="69"/>
      <c r="CX31" s="69"/>
      <c r="CY31" s="69"/>
      <c r="CZ31" s="69"/>
      <c r="DA31" s="69"/>
      <c r="DB31" s="69"/>
      <c r="DC31" s="69"/>
      <c r="DD31" s="69"/>
      <c r="DE31" s="69"/>
      <c r="DF31" s="69"/>
      <c r="DG31" s="69"/>
      <c r="DH31" s="69"/>
      <c r="DI31" s="69"/>
      <c r="DJ31" s="69"/>
      <c r="DK31" s="69"/>
      <c r="DL31" s="69"/>
      <c r="DM31" s="69"/>
      <c r="DN31" s="69"/>
      <c r="DO31" s="69"/>
      <c r="DP31" s="69"/>
      <c r="DQ31" s="69"/>
      <c r="DR31" s="69"/>
      <c r="DS31" s="69"/>
      <c r="DT31" s="69"/>
      <c r="DU31" s="69"/>
      <c r="DV31" s="69"/>
      <c r="DW31" s="69"/>
      <c r="DX31" s="69"/>
      <c r="DY31" s="69"/>
      <c r="DZ31" s="69"/>
      <c r="EA31" s="69"/>
      <c r="EB31" s="69"/>
      <c r="EC31" s="69"/>
      <c r="ED31" s="69"/>
      <c r="EE31" s="69"/>
      <c r="EF31" s="69"/>
      <c r="EG31" s="69"/>
      <c r="EH31" s="69"/>
      <c r="EI31" s="69"/>
      <c r="EJ31" s="69"/>
      <c r="EK31" s="69"/>
      <c r="EL31" s="69"/>
      <c r="EM31" s="69"/>
      <c r="EN31" s="69"/>
      <c r="EO31" s="69"/>
      <c r="EP31" s="69"/>
      <c r="EQ31" s="69"/>
      <c r="ER31" s="69"/>
      <c r="ES31" s="69"/>
      <c r="ET31" s="69"/>
      <c r="EU31" s="69"/>
      <c r="EV31" s="69"/>
      <c r="EW31" s="69"/>
      <c r="EX31" s="69"/>
      <c r="EY31" s="69"/>
      <c r="EZ31" s="69"/>
      <c r="FA31" s="69"/>
      <c r="FB31" s="69"/>
      <c r="FC31" s="69"/>
      <c r="FD31" s="69"/>
      <c r="FE31" s="69"/>
      <c r="FF31" s="69"/>
      <c r="FG31" s="69"/>
      <c r="FH31" s="69"/>
      <c r="FI31" s="69"/>
      <c r="FJ31" s="69"/>
      <c r="FK31" s="69"/>
      <c r="FL31" s="69"/>
      <c r="FM31" s="69"/>
      <c r="FN31" s="69"/>
      <c r="FO31" s="69"/>
      <c r="FP31" s="69"/>
      <c r="FQ31" s="69"/>
      <c r="FR31" s="69"/>
      <c r="FS31" s="69"/>
      <c r="FT31" s="69"/>
      <c r="FU31" s="69"/>
      <c r="FV31" s="69"/>
      <c r="FW31" s="69"/>
      <c r="FX31" s="69"/>
      <c r="FY31" s="69"/>
      <c r="FZ31" s="69"/>
      <c r="GA31" s="69"/>
      <c r="GB31" s="69"/>
      <c r="GC31" s="69"/>
      <c r="GD31" s="69"/>
      <c r="GE31" s="69"/>
      <c r="GF31" s="69"/>
      <c r="GG31" s="69"/>
      <c r="GH31" s="69"/>
      <c r="GI31" s="69"/>
      <c r="GJ31" s="69"/>
      <c r="GK31" s="69"/>
      <c r="GL31" s="69"/>
      <c r="GM31" s="69"/>
      <c r="GN31" s="69"/>
      <c r="GO31" s="69"/>
      <c r="GP31" s="69"/>
      <c r="GQ31" s="69"/>
      <c r="GR31" s="69"/>
      <c r="GS31" s="69"/>
      <c r="GT31" s="69"/>
      <c r="GU31" s="69"/>
      <c r="GV31" s="69"/>
      <c r="GW31" s="69"/>
      <c r="GX31" s="69"/>
      <c r="GY31" s="69"/>
      <c r="GZ31" s="69"/>
      <c r="HA31" s="69"/>
      <c r="HB31" s="69"/>
      <c r="HC31" s="69"/>
      <c r="HD31" s="69"/>
      <c r="HE31" s="69"/>
      <c r="HF31" s="69"/>
      <c r="HG31" s="69"/>
      <c r="HH31" s="69"/>
      <c r="HI31" s="69"/>
      <c r="HJ31" s="69"/>
      <c r="HK31" s="69"/>
      <c r="HL31" s="69"/>
      <c r="HM31" s="69"/>
      <c r="HN31" s="69"/>
      <c r="HO31" s="69"/>
      <c r="HP31" s="69"/>
      <c r="HQ31" s="69"/>
      <c r="HR31" s="69"/>
      <c r="HS31" s="69"/>
      <c r="HT31" s="69"/>
      <c r="HU31" s="69"/>
      <c r="HV31" s="69"/>
      <c r="HW31" s="69"/>
      <c r="HX31" s="69"/>
      <c r="HY31" s="69"/>
      <c r="HZ31" s="69"/>
      <c r="IA31" s="69"/>
      <c r="IB31" s="69"/>
      <c r="IC31" s="69"/>
      <c r="ID31" s="69"/>
      <c r="IE31" s="69"/>
      <c r="IF31" s="69"/>
      <c r="IG31" s="69"/>
      <c r="IH31" s="69"/>
      <c r="II31" s="69"/>
      <c r="IJ31" s="69"/>
      <c r="IK31" s="69"/>
      <c r="IL31" s="69"/>
      <c r="IM31" s="69"/>
      <c r="IN31" s="69"/>
      <c r="IO31" s="69"/>
      <c r="IP31" s="69"/>
      <c r="IQ31" s="69"/>
      <c r="IR31" s="69"/>
      <c r="IS31" s="69"/>
      <c r="IT31" s="69"/>
      <c r="IU31" s="69"/>
      <c r="IV31" s="69"/>
      <c r="IW31" s="69"/>
      <c r="IX31" s="69"/>
      <c r="IY31" s="69"/>
      <c r="IZ31" s="69"/>
      <c r="JA31" s="69"/>
      <c r="JB31" s="69"/>
      <c r="JC31" s="69"/>
      <c r="JD31" s="69"/>
      <c r="JE31" s="69"/>
      <c r="JF31" s="69"/>
      <c r="JG31" s="69"/>
      <c r="JH31" s="69"/>
      <c r="JI31" s="69"/>
      <c r="JJ31" s="69"/>
      <c r="JK31" s="69"/>
      <c r="JL31" s="69"/>
      <c r="JM31" s="69"/>
      <c r="JN31" s="69"/>
      <c r="JO31" s="69"/>
      <c r="JP31" s="69"/>
      <c r="JQ31" s="69"/>
      <c r="JR31" s="69"/>
    </row>
    <row r="32" spans="1:278" s="68" customFormat="1" ht="15.75" customHeight="1" x14ac:dyDescent="0.2"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  <c r="CP32" s="69"/>
      <c r="CQ32" s="69"/>
      <c r="CR32" s="69"/>
      <c r="CS32" s="69"/>
      <c r="CT32" s="69"/>
      <c r="CU32" s="69"/>
      <c r="CV32" s="69"/>
      <c r="CW32" s="69"/>
      <c r="CX32" s="69"/>
      <c r="CY32" s="69"/>
      <c r="CZ32" s="69"/>
      <c r="DA32" s="69"/>
      <c r="DB32" s="69"/>
      <c r="DC32" s="69"/>
      <c r="DD32" s="69"/>
      <c r="DE32" s="69"/>
      <c r="DF32" s="69"/>
      <c r="DG32" s="69"/>
      <c r="DH32" s="69"/>
      <c r="DI32" s="69"/>
      <c r="DJ32" s="69"/>
      <c r="DK32" s="69"/>
      <c r="DL32" s="69"/>
      <c r="DM32" s="69"/>
      <c r="DN32" s="69"/>
      <c r="DO32" s="69"/>
      <c r="DP32" s="69"/>
      <c r="DQ32" s="69"/>
      <c r="DR32" s="69"/>
      <c r="DS32" s="69"/>
      <c r="DT32" s="69"/>
      <c r="DU32" s="69"/>
      <c r="DV32" s="69"/>
      <c r="DW32" s="69"/>
      <c r="DX32" s="69"/>
      <c r="DY32" s="69"/>
      <c r="DZ32" s="69"/>
      <c r="EA32" s="69"/>
      <c r="EB32" s="69"/>
      <c r="EC32" s="69"/>
      <c r="ED32" s="69"/>
      <c r="EE32" s="69"/>
      <c r="EF32" s="69"/>
      <c r="EG32" s="69"/>
      <c r="EH32" s="69"/>
      <c r="EI32" s="69"/>
      <c r="EJ32" s="69"/>
      <c r="EK32" s="69"/>
      <c r="EL32" s="69"/>
      <c r="EM32" s="69"/>
      <c r="EN32" s="69"/>
      <c r="EO32" s="69"/>
      <c r="EP32" s="69"/>
      <c r="EQ32" s="69"/>
      <c r="ER32" s="69"/>
      <c r="ES32" s="69"/>
      <c r="ET32" s="69"/>
      <c r="EU32" s="69"/>
      <c r="EV32" s="69"/>
      <c r="EW32" s="69"/>
      <c r="EX32" s="69"/>
      <c r="EY32" s="69"/>
      <c r="EZ32" s="69"/>
      <c r="FA32" s="69"/>
      <c r="FB32" s="69"/>
      <c r="FC32" s="69"/>
      <c r="FD32" s="69"/>
      <c r="FE32" s="69"/>
      <c r="FF32" s="69"/>
      <c r="FG32" s="69"/>
      <c r="FH32" s="69"/>
      <c r="FI32" s="69"/>
      <c r="FJ32" s="69"/>
      <c r="FK32" s="69"/>
      <c r="FL32" s="69"/>
      <c r="FM32" s="69"/>
      <c r="FN32" s="69"/>
      <c r="FO32" s="69"/>
      <c r="FP32" s="69"/>
      <c r="FQ32" s="69"/>
      <c r="FR32" s="69"/>
      <c r="FS32" s="69"/>
      <c r="FT32" s="69"/>
      <c r="FU32" s="69"/>
      <c r="FV32" s="69"/>
      <c r="FW32" s="69"/>
      <c r="FX32" s="69"/>
      <c r="FY32" s="69"/>
      <c r="FZ32" s="69"/>
      <c r="GA32" s="69"/>
      <c r="GB32" s="69"/>
      <c r="GC32" s="69"/>
      <c r="GD32" s="69"/>
      <c r="GE32" s="69"/>
      <c r="GF32" s="69"/>
      <c r="GG32" s="69"/>
      <c r="GH32" s="69"/>
      <c r="GI32" s="69"/>
      <c r="GJ32" s="69"/>
      <c r="GK32" s="69"/>
      <c r="GL32" s="69"/>
      <c r="GM32" s="69"/>
      <c r="GN32" s="69"/>
      <c r="GO32" s="69"/>
      <c r="GP32" s="69"/>
      <c r="GQ32" s="69"/>
      <c r="GR32" s="69"/>
      <c r="GS32" s="69"/>
      <c r="GT32" s="69"/>
      <c r="GU32" s="69"/>
      <c r="GV32" s="69"/>
      <c r="GW32" s="69"/>
      <c r="GX32" s="69"/>
      <c r="GY32" s="69"/>
      <c r="GZ32" s="69"/>
      <c r="HA32" s="69"/>
      <c r="HB32" s="69"/>
      <c r="HC32" s="69"/>
      <c r="HD32" s="69"/>
      <c r="HE32" s="69"/>
      <c r="HF32" s="69"/>
      <c r="HG32" s="69"/>
      <c r="HH32" s="69"/>
      <c r="HI32" s="69"/>
      <c r="HJ32" s="69"/>
      <c r="HK32" s="69"/>
      <c r="HL32" s="69"/>
      <c r="HM32" s="69"/>
      <c r="HN32" s="69"/>
      <c r="HO32" s="69"/>
      <c r="HP32" s="69"/>
      <c r="HQ32" s="69"/>
      <c r="HR32" s="69"/>
      <c r="HS32" s="69"/>
      <c r="HT32" s="69"/>
      <c r="HU32" s="69"/>
      <c r="HV32" s="69"/>
      <c r="HW32" s="69"/>
      <c r="HX32" s="69"/>
      <c r="HY32" s="69"/>
      <c r="HZ32" s="69"/>
      <c r="IA32" s="69"/>
      <c r="IB32" s="69"/>
      <c r="IC32" s="69"/>
      <c r="ID32" s="69"/>
      <c r="IE32" s="69"/>
      <c r="IF32" s="69"/>
      <c r="IG32" s="69"/>
      <c r="IH32" s="69"/>
      <c r="II32" s="69"/>
      <c r="IJ32" s="69"/>
      <c r="IK32" s="69"/>
      <c r="IL32" s="69"/>
      <c r="IM32" s="69"/>
      <c r="IN32" s="69"/>
      <c r="IO32" s="69"/>
      <c r="IP32" s="69"/>
      <c r="IQ32" s="69"/>
      <c r="IR32" s="69"/>
      <c r="IS32" s="69"/>
      <c r="IT32" s="69"/>
      <c r="IU32" s="69"/>
      <c r="IV32" s="69"/>
      <c r="IW32" s="69"/>
      <c r="IX32" s="69"/>
      <c r="IY32" s="69"/>
      <c r="IZ32" s="69"/>
      <c r="JA32" s="69"/>
      <c r="JB32" s="69"/>
      <c r="JC32" s="69"/>
      <c r="JD32" s="69"/>
      <c r="JE32" s="69"/>
      <c r="JF32" s="69"/>
      <c r="JG32" s="69"/>
      <c r="JH32" s="69"/>
      <c r="JI32" s="69"/>
      <c r="JJ32" s="69"/>
      <c r="JK32" s="69"/>
      <c r="JL32" s="69"/>
      <c r="JM32" s="69"/>
      <c r="JN32" s="69"/>
      <c r="JO32" s="69"/>
      <c r="JP32" s="69"/>
      <c r="JQ32" s="69"/>
      <c r="JR32" s="69"/>
    </row>
    <row r="33" spans="1:278" s="68" customFormat="1" ht="15.75" customHeight="1" x14ac:dyDescent="0.2"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  <c r="CP33" s="69"/>
      <c r="CQ33" s="69"/>
      <c r="CR33" s="69"/>
      <c r="CS33" s="69"/>
      <c r="CT33" s="69"/>
      <c r="CU33" s="69"/>
      <c r="CV33" s="69"/>
      <c r="CW33" s="69"/>
      <c r="CX33" s="69"/>
      <c r="CY33" s="69"/>
      <c r="CZ33" s="69"/>
      <c r="DA33" s="69"/>
      <c r="DB33" s="69"/>
      <c r="DC33" s="69"/>
      <c r="DD33" s="69"/>
      <c r="DE33" s="69"/>
      <c r="DF33" s="69"/>
      <c r="DG33" s="69"/>
      <c r="DH33" s="69"/>
      <c r="DI33" s="69"/>
      <c r="DJ33" s="69"/>
      <c r="DK33" s="69"/>
      <c r="DL33" s="69"/>
      <c r="DM33" s="69"/>
      <c r="DN33" s="69"/>
      <c r="DO33" s="69"/>
      <c r="DP33" s="69"/>
      <c r="DQ33" s="69"/>
      <c r="DR33" s="69"/>
      <c r="DS33" s="69"/>
      <c r="DT33" s="69"/>
      <c r="DU33" s="69"/>
      <c r="DV33" s="69"/>
      <c r="DW33" s="69"/>
      <c r="DX33" s="69"/>
      <c r="DY33" s="69"/>
      <c r="DZ33" s="69"/>
      <c r="EA33" s="69"/>
      <c r="EB33" s="69"/>
      <c r="EC33" s="69"/>
      <c r="ED33" s="69"/>
      <c r="EE33" s="69"/>
      <c r="EF33" s="69"/>
      <c r="EG33" s="69"/>
      <c r="EH33" s="69"/>
      <c r="EI33" s="69"/>
      <c r="EJ33" s="69"/>
      <c r="EK33" s="69"/>
      <c r="EL33" s="69"/>
      <c r="EM33" s="69"/>
      <c r="EN33" s="69"/>
      <c r="EO33" s="69"/>
      <c r="EP33" s="69"/>
      <c r="EQ33" s="69"/>
      <c r="ER33" s="69"/>
      <c r="ES33" s="69"/>
      <c r="ET33" s="69"/>
      <c r="EU33" s="69"/>
      <c r="EV33" s="69"/>
      <c r="EW33" s="69"/>
      <c r="EX33" s="69"/>
      <c r="EY33" s="69"/>
      <c r="EZ33" s="69"/>
      <c r="FA33" s="69"/>
      <c r="FB33" s="69"/>
      <c r="FC33" s="69"/>
      <c r="FD33" s="69"/>
      <c r="FE33" s="69"/>
      <c r="FF33" s="69"/>
      <c r="FG33" s="69"/>
      <c r="FH33" s="69"/>
      <c r="FI33" s="69"/>
      <c r="FJ33" s="69"/>
      <c r="FK33" s="69"/>
      <c r="FL33" s="69"/>
      <c r="FM33" s="69"/>
      <c r="FN33" s="69"/>
      <c r="FO33" s="69"/>
      <c r="FP33" s="69"/>
      <c r="FQ33" s="69"/>
      <c r="FR33" s="69"/>
      <c r="FS33" s="69"/>
      <c r="FT33" s="69"/>
      <c r="FU33" s="69"/>
      <c r="FV33" s="69"/>
      <c r="FW33" s="69"/>
      <c r="FX33" s="69"/>
      <c r="FY33" s="69"/>
      <c r="FZ33" s="69"/>
      <c r="GA33" s="69"/>
      <c r="GB33" s="69"/>
      <c r="GC33" s="69"/>
      <c r="GD33" s="69"/>
      <c r="GE33" s="69"/>
      <c r="GF33" s="69"/>
      <c r="GG33" s="69"/>
      <c r="GH33" s="69"/>
      <c r="GI33" s="69"/>
      <c r="GJ33" s="69"/>
      <c r="GK33" s="69"/>
      <c r="GL33" s="69"/>
      <c r="GM33" s="69"/>
      <c r="GN33" s="69"/>
      <c r="GO33" s="69"/>
      <c r="GP33" s="69"/>
      <c r="GQ33" s="69"/>
      <c r="GR33" s="69"/>
      <c r="GS33" s="69"/>
      <c r="GT33" s="69"/>
      <c r="GU33" s="69"/>
      <c r="GV33" s="69"/>
      <c r="GW33" s="69"/>
      <c r="GX33" s="69"/>
      <c r="GY33" s="69"/>
      <c r="GZ33" s="69"/>
      <c r="HA33" s="69"/>
      <c r="HB33" s="69"/>
      <c r="HC33" s="69"/>
      <c r="HD33" s="69"/>
      <c r="HE33" s="69"/>
      <c r="HF33" s="69"/>
      <c r="HG33" s="69"/>
      <c r="HH33" s="69"/>
      <c r="HI33" s="69"/>
      <c r="HJ33" s="69"/>
      <c r="HK33" s="69"/>
      <c r="HL33" s="69"/>
      <c r="HM33" s="69"/>
      <c r="HN33" s="69"/>
      <c r="HO33" s="69"/>
      <c r="HP33" s="69"/>
      <c r="HQ33" s="69"/>
      <c r="HR33" s="69"/>
      <c r="HS33" s="69"/>
      <c r="HT33" s="69"/>
      <c r="HU33" s="69"/>
      <c r="HV33" s="69"/>
      <c r="HW33" s="69"/>
      <c r="HX33" s="69"/>
      <c r="HY33" s="69"/>
      <c r="HZ33" s="69"/>
      <c r="IA33" s="69"/>
      <c r="IB33" s="69"/>
      <c r="IC33" s="69"/>
      <c r="ID33" s="69"/>
      <c r="IE33" s="69"/>
      <c r="IF33" s="69"/>
      <c r="IG33" s="69"/>
      <c r="IH33" s="69"/>
      <c r="II33" s="69"/>
      <c r="IJ33" s="69"/>
      <c r="IK33" s="69"/>
      <c r="IL33" s="69"/>
      <c r="IM33" s="69"/>
      <c r="IN33" s="69"/>
      <c r="IO33" s="69"/>
      <c r="IP33" s="69"/>
      <c r="IQ33" s="69"/>
      <c r="IR33" s="69"/>
      <c r="IS33" s="69"/>
      <c r="IT33" s="69"/>
      <c r="IU33" s="69"/>
      <c r="IV33" s="69"/>
      <c r="IW33" s="69"/>
      <c r="IX33" s="69"/>
      <c r="IY33" s="69"/>
      <c r="IZ33" s="69"/>
      <c r="JA33" s="69"/>
      <c r="JB33" s="69"/>
      <c r="JC33" s="69"/>
      <c r="JD33" s="69"/>
      <c r="JE33" s="69"/>
      <c r="JF33" s="69"/>
      <c r="JG33" s="69"/>
      <c r="JH33" s="69"/>
      <c r="JI33" s="69"/>
      <c r="JJ33" s="69"/>
      <c r="JK33" s="69"/>
      <c r="JL33" s="69"/>
      <c r="JM33" s="69"/>
      <c r="JN33" s="69"/>
      <c r="JO33" s="69"/>
      <c r="JP33" s="69"/>
      <c r="JQ33" s="69"/>
      <c r="JR33" s="69"/>
    </row>
    <row r="34" spans="1:278" ht="18.75" customHeight="1" x14ac:dyDescent="0.25">
      <c r="A34" s="43"/>
      <c r="B34" s="83" t="s">
        <v>54</v>
      </c>
      <c r="C34" s="84"/>
      <c r="D34" s="84"/>
      <c r="E34" s="84"/>
      <c r="F34" s="85"/>
    </row>
    <row r="35" spans="1:278" ht="15.75" customHeight="1" x14ac:dyDescent="0.2">
      <c r="B35" s="41" t="s">
        <v>50</v>
      </c>
    </row>
    <row r="36" spans="1:278" ht="15.75" customHeight="1" x14ac:dyDescent="0.2">
      <c r="B36" s="41" t="s">
        <v>42</v>
      </c>
    </row>
    <row r="37" spans="1:278" ht="8.25" customHeight="1" x14ac:dyDescent="0.2">
      <c r="B37" s="41"/>
    </row>
    <row r="38" spans="1:278" ht="15.75" customHeight="1" x14ac:dyDescent="0.2">
      <c r="B38" s="75"/>
    </row>
    <row r="39" spans="1:278" ht="15.75" customHeight="1" x14ac:dyDescent="0.2">
      <c r="B39" s="75"/>
    </row>
    <row r="40" spans="1:278" ht="15.75" customHeight="1" x14ac:dyDescent="0.2"/>
    <row r="41" spans="1:278" ht="15.75" customHeight="1" x14ac:dyDescent="0.2"/>
    <row r="42" spans="1:278" ht="15.75" customHeight="1" x14ac:dyDescent="0.2"/>
    <row r="43" spans="1:278" ht="15.75" customHeight="1" x14ac:dyDescent="0.2"/>
    <row r="44" spans="1:278" ht="15.75" customHeight="1" x14ac:dyDescent="0.2"/>
    <row r="45" spans="1:278" ht="15.75" customHeight="1" x14ac:dyDescent="0.2"/>
    <row r="46" spans="1:278" ht="15.75" customHeight="1" x14ac:dyDescent="0.2"/>
    <row r="47" spans="1:278" ht="15.75" customHeight="1" x14ac:dyDescent="0.2"/>
    <row r="48" spans="1:27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</sheetData>
  <mergeCells count="17">
    <mergeCell ref="C1:E1"/>
    <mergeCell ref="B13:D13"/>
    <mergeCell ref="B5:D5"/>
    <mergeCell ref="B6:D6"/>
    <mergeCell ref="B7:D7"/>
    <mergeCell ref="B4:D4"/>
    <mergeCell ref="B14:D14"/>
    <mergeCell ref="B12:D12"/>
    <mergeCell ref="B11:D11"/>
    <mergeCell ref="B29:F29"/>
    <mergeCell ref="B3:D3"/>
    <mergeCell ref="B17:D17"/>
    <mergeCell ref="B34:F34"/>
    <mergeCell ref="B26:D26"/>
    <mergeCell ref="B19:D19"/>
    <mergeCell ref="B23:D23"/>
    <mergeCell ref="B18:D18"/>
  </mergeCells>
  <printOptions horizontalCentered="1"/>
  <pageMargins left="0.55118110236220474" right="0.27559055118110237" top="0.55118110236220474" bottom="0.19685039370078741" header="0" footer="0"/>
  <pageSetup paperSize="9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92D2-1B27-42F9-9451-8640AB9BB797}">
  <sheetPr>
    <pageSetUpPr fitToPage="1"/>
  </sheetPr>
  <dimension ref="A1:JR960"/>
  <sheetViews>
    <sheetView topLeftCell="A5" workbookViewId="0">
      <selection activeCell="B13" sqref="B13:D13"/>
    </sheetView>
  </sheetViews>
  <sheetFormatPr baseColWidth="10" defaultColWidth="14.5" defaultRowHeight="15" x14ac:dyDescent="0.2"/>
  <cols>
    <col min="1" max="1" width="2.6640625" customWidth="1"/>
    <col min="2" max="2" width="10.6640625" customWidth="1"/>
    <col min="3" max="3" width="14.83203125" customWidth="1"/>
    <col min="4" max="4" width="19.33203125" customWidth="1"/>
    <col min="5" max="5" width="30" customWidth="1"/>
    <col min="6" max="6" width="33.5" customWidth="1"/>
  </cols>
  <sheetData>
    <row r="1" spans="1:278" ht="72.75" customHeight="1" x14ac:dyDescent="0.2">
      <c r="A1" s="7"/>
      <c r="B1" s="13" t="str">
        <f>+'lista de precios 824'!B1</f>
        <v>Lista 0225</v>
      </c>
      <c r="C1" s="104" t="s">
        <v>4</v>
      </c>
      <c r="D1" s="104"/>
      <c r="E1" s="104"/>
      <c r="F1" s="31"/>
    </row>
    <row r="2" spans="1:278" s="16" customFormat="1" ht="36" customHeight="1" x14ac:dyDescent="0.2">
      <c r="B2" s="25" t="s">
        <v>29</v>
      </c>
      <c r="C2" s="23"/>
      <c r="D2" s="23"/>
      <c r="E2" s="24"/>
      <c r="F2" s="24"/>
    </row>
    <row r="3" spans="1:278" s="9" customFormat="1" ht="30" customHeight="1" x14ac:dyDescent="0.2">
      <c r="A3" s="3"/>
      <c r="B3" s="117" t="s">
        <v>15</v>
      </c>
      <c r="C3" s="118"/>
      <c r="D3" s="119"/>
      <c r="E3" s="56" t="s">
        <v>6</v>
      </c>
      <c r="F3" s="57" t="s">
        <v>12</v>
      </c>
    </row>
    <row r="4" spans="1:278" ht="66" customHeight="1" x14ac:dyDescent="0.2">
      <c r="A4" s="1"/>
      <c r="B4" s="111" t="s">
        <v>52</v>
      </c>
      <c r="C4" s="112"/>
      <c r="D4" s="113"/>
      <c r="E4" s="37">
        <f>'lista de precios 824'!E4</f>
        <v>15000</v>
      </c>
      <c r="F4" s="37">
        <f>+E4*1.105</f>
        <v>16575</v>
      </c>
    </row>
    <row r="5" spans="1:278" ht="66" customHeight="1" x14ac:dyDescent="0.2">
      <c r="A5" s="1"/>
      <c r="B5" s="111" t="s">
        <v>30</v>
      </c>
      <c r="C5" s="112"/>
      <c r="D5" s="113"/>
      <c r="E5" s="37">
        <f>'lista de precios 824'!E4+E16</f>
        <v>16170</v>
      </c>
      <c r="F5" s="37">
        <f>('lista de precios 824'!E4 * 1.105)+F16</f>
        <v>17990.7</v>
      </c>
    </row>
    <row r="6" spans="1:278" ht="66" customHeight="1" x14ac:dyDescent="0.2">
      <c r="A6" s="1"/>
      <c r="B6" s="111" t="s">
        <v>34</v>
      </c>
      <c r="C6" s="112"/>
      <c r="D6" s="113"/>
      <c r="E6" s="37">
        <f>'lista de precios 824'!E4+E16+E14</f>
        <v>16960</v>
      </c>
      <c r="F6" s="37">
        <f>('lista de precios 824'!E4 * 1.105)+F16+F14</f>
        <v>18946.600000000002</v>
      </c>
    </row>
    <row r="7" spans="1:278" ht="66" customHeight="1" x14ac:dyDescent="0.2">
      <c r="A7" s="1"/>
      <c r="B7" s="111" t="s">
        <v>35</v>
      </c>
      <c r="C7" s="112"/>
      <c r="D7" s="113"/>
      <c r="E7" s="37">
        <f>'lista de precios 824'!E4+E16+E13</f>
        <v>17550</v>
      </c>
      <c r="F7" s="37">
        <f>('lista de precios 824'!E4 * 1.105)+F16+F13</f>
        <v>19660.5</v>
      </c>
      <c r="I7" s="71"/>
      <c r="J7" s="71"/>
    </row>
    <row r="8" spans="1:278" ht="22.5" customHeight="1" x14ac:dyDescent="0.2">
      <c r="A8" s="7"/>
      <c r="B8" s="51" t="s">
        <v>18</v>
      </c>
      <c r="C8" s="17"/>
      <c r="D8" s="17"/>
      <c r="E8" s="17"/>
      <c r="F8" s="52"/>
      <c r="G8" s="16"/>
      <c r="H8" s="16"/>
      <c r="I8" s="72"/>
      <c r="J8" s="72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</row>
    <row r="9" spans="1:278" s="16" customFormat="1" ht="23.25" customHeight="1" x14ac:dyDescent="0.2">
      <c r="B9" s="28"/>
      <c r="C9" s="23"/>
      <c r="D9" s="23"/>
      <c r="E9" s="30"/>
      <c r="F9" s="30"/>
    </row>
    <row r="10" spans="1:278" x14ac:dyDescent="0.2">
      <c r="A10" s="6"/>
      <c r="B10" s="27" t="s">
        <v>16</v>
      </c>
      <c r="C10" s="12"/>
      <c r="D10" s="12"/>
      <c r="E10" s="12"/>
      <c r="F10" s="12"/>
    </row>
    <row r="11" spans="1:278" ht="9" customHeight="1" x14ac:dyDescent="0.2">
      <c r="A11" s="6"/>
      <c r="B11" s="19"/>
      <c r="C11" s="20"/>
      <c r="D11" s="20"/>
      <c r="E11" s="22"/>
      <c r="F11" s="6"/>
    </row>
    <row r="12" spans="1:278" ht="26.25" customHeight="1" x14ac:dyDescent="0.2">
      <c r="A12" s="6"/>
      <c r="B12" s="64" t="s">
        <v>2</v>
      </c>
      <c r="C12" s="58"/>
      <c r="D12" s="59"/>
      <c r="E12" s="60" t="s">
        <v>0</v>
      </c>
      <c r="F12" s="56" t="s">
        <v>26</v>
      </c>
    </row>
    <row r="13" spans="1:278" ht="30" customHeight="1" x14ac:dyDescent="0.2">
      <c r="A13" s="6"/>
      <c r="B13" s="114" t="s">
        <v>13</v>
      </c>
      <c r="C13" s="115"/>
      <c r="D13" s="116"/>
      <c r="E13" s="34">
        <f>+'lista de precios 824'!E12</f>
        <v>1380</v>
      </c>
      <c r="F13" s="35">
        <f>E13*1.21</f>
        <v>1669.8</v>
      </c>
    </row>
    <row r="14" spans="1:278" ht="30" customHeight="1" x14ac:dyDescent="0.2">
      <c r="A14" s="6"/>
      <c r="B14" s="114" t="s">
        <v>14</v>
      </c>
      <c r="C14" s="115"/>
      <c r="D14" s="116"/>
      <c r="E14" s="34">
        <f>+'lista de precios 824'!E13</f>
        <v>790</v>
      </c>
      <c r="F14" s="35">
        <f>E14*1.21</f>
        <v>955.9</v>
      </c>
    </row>
    <row r="15" spans="1:278" ht="6" customHeight="1" x14ac:dyDescent="0.2">
      <c r="A15" s="6"/>
      <c r="B15" s="61"/>
      <c r="C15" s="62"/>
      <c r="D15" s="63"/>
      <c r="E15" s="36"/>
      <c r="F15" s="35"/>
    </row>
    <row r="16" spans="1:278" ht="39" customHeight="1" x14ac:dyDescent="0.2">
      <c r="A16" s="6"/>
      <c r="B16" s="111" t="s">
        <v>28</v>
      </c>
      <c r="C16" s="112"/>
      <c r="D16" s="113"/>
      <c r="E16" s="34">
        <f>+'lista de precios 824'!E14</f>
        <v>1170</v>
      </c>
      <c r="F16" s="35">
        <f>E16*1.21</f>
        <v>1415.7</v>
      </c>
    </row>
    <row r="17" spans="1:278" s="45" customFormat="1" ht="9.75" customHeight="1" x14ac:dyDescent="0.2">
      <c r="A17" s="44"/>
      <c r="B17" s="47"/>
      <c r="C17" s="48"/>
      <c r="D17" s="53"/>
      <c r="E17" s="53"/>
      <c r="F17" s="55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</row>
    <row r="18" spans="1:278" ht="18.75" customHeight="1" x14ac:dyDescent="0.2">
      <c r="A18" s="8"/>
      <c r="B18" s="46" t="s">
        <v>11</v>
      </c>
      <c r="C18" s="29"/>
      <c r="D18" s="29"/>
      <c r="E18" s="10"/>
      <c r="F18" s="10"/>
    </row>
    <row r="19" spans="1:278" ht="51" customHeight="1" x14ac:dyDescent="0.2">
      <c r="A19" s="6"/>
      <c r="B19" s="6"/>
      <c r="C19" s="6"/>
      <c r="D19" s="6"/>
      <c r="E19" s="6"/>
      <c r="F19" s="6"/>
    </row>
    <row r="20" spans="1:278" ht="18.75" customHeight="1" x14ac:dyDescent="0.25">
      <c r="A20" s="43"/>
      <c r="B20" s="108" t="s">
        <v>27</v>
      </c>
      <c r="C20" s="109"/>
      <c r="D20" s="109"/>
      <c r="E20" s="109"/>
      <c r="F20" s="110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</row>
    <row r="21" spans="1:278" s="68" customFormat="1" ht="23.25" customHeight="1" x14ac:dyDescent="0.2">
      <c r="B21" s="68" t="s">
        <v>22</v>
      </c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  <c r="DG21" s="69"/>
      <c r="DH21" s="69"/>
      <c r="DI21" s="69"/>
      <c r="DJ21" s="69"/>
      <c r="DK21" s="69"/>
      <c r="DL21" s="69"/>
      <c r="DM21" s="69"/>
      <c r="DN21" s="69"/>
      <c r="DO21" s="69"/>
      <c r="DP21" s="69"/>
      <c r="DQ21" s="69"/>
      <c r="DR21" s="69"/>
      <c r="DS21" s="69"/>
      <c r="DT21" s="69"/>
      <c r="DU21" s="69"/>
      <c r="DV21" s="69"/>
      <c r="DW21" s="69"/>
      <c r="DX21" s="69"/>
      <c r="DY21" s="69"/>
      <c r="DZ21" s="69"/>
      <c r="EA21" s="69"/>
      <c r="EB21" s="69"/>
      <c r="EC21" s="69"/>
      <c r="ED21" s="69"/>
      <c r="EE21" s="69"/>
      <c r="EF21" s="69"/>
      <c r="EG21" s="69"/>
      <c r="EH21" s="69"/>
      <c r="EI21" s="69"/>
      <c r="EJ21" s="69"/>
      <c r="EK21" s="69"/>
      <c r="EL21" s="69"/>
      <c r="EM21" s="69"/>
      <c r="EN21" s="69"/>
      <c r="EO21" s="69"/>
      <c r="EP21" s="69"/>
      <c r="EQ21" s="69"/>
      <c r="ER21" s="69"/>
      <c r="ES21" s="69"/>
      <c r="ET21" s="69"/>
      <c r="EU21" s="69"/>
      <c r="EV21" s="69"/>
      <c r="EW21" s="69"/>
      <c r="EX21" s="69"/>
      <c r="EY21" s="69"/>
      <c r="EZ21" s="69"/>
      <c r="FA21" s="69"/>
      <c r="FB21" s="69"/>
      <c r="FC21" s="69"/>
      <c r="FD21" s="69"/>
      <c r="FE21" s="69"/>
      <c r="FF21" s="69"/>
      <c r="FG21" s="69"/>
      <c r="FH21" s="69"/>
      <c r="FI21" s="69"/>
      <c r="FJ21" s="69"/>
      <c r="FK21" s="69"/>
      <c r="FL21" s="69"/>
      <c r="FM21" s="69"/>
      <c r="FN21" s="69"/>
      <c r="FO21" s="69"/>
      <c r="FP21" s="69"/>
      <c r="FQ21" s="69"/>
      <c r="FR21" s="69"/>
      <c r="FS21" s="69"/>
      <c r="FT21" s="69"/>
      <c r="FU21" s="69"/>
      <c r="FV21" s="69"/>
      <c r="FW21" s="69"/>
      <c r="FX21" s="69"/>
      <c r="FY21" s="69"/>
      <c r="FZ21" s="69"/>
      <c r="GA21" s="69"/>
      <c r="GB21" s="69"/>
      <c r="GC21" s="69"/>
      <c r="GD21" s="69"/>
      <c r="GE21" s="69"/>
      <c r="GF21" s="69"/>
      <c r="GG21" s="69"/>
      <c r="GH21" s="69"/>
      <c r="GI21" s="69"/>
      <c r="GJ21" s="69"/>
      <c r="GK21" s="69"/>
      <c r="GL21" s="69"/>
      <c r="GM21" s="69"/>
      <c r="GN21" s="69"/>
      <c r="GO21" s="69"/>
      <c r="GP21" s="69"/>
      <c r="GQ21" s="69"/>
      <c r="GR21" s="69"/>
      <c r="GS21" s="69"/>
      <c r="GT21" s="69"/>
      <c r="GU21" s="69"/>
      <c r="GV21" s="69"/>
      <c r="GW21" s="69"/>
      <c r="GX21" s="69"/>
      <c r="GY21" s="69"/>
      <c r="GZ21" s="69"/>
      <c r="HA21" s="69"/>
      <c r="HB21" s="69"/>
      <c r="HC21" s="69"/>
      <c r="HD21" s="69"/>
      <c r="HE21" s="69"/>
      <c r="HF21" s="69"/>
      <c r="HG21" s="69"/>
      <c r="HH21" s="69"/>
      <c r="HI21" s="69"/>
      <c r="HJ21" s="69"/>
      <c r="HK21" s="69"/>
      <c r="HL21" s="69"/>
      <c r="HM21" s="69"/>
      <c r="HN21" s="69"/>
      <c r="HO21" s="69"/>
      <c r="HP21" s="69"/>
      <c r="HQ21" s="69"/>
      <c r="HR21" s="69"/>
      <c r="HS21" s="69"/>
      <c r="HT21" s="69"/>
      <c r="HU21" s="69"/>
      <c r="HV21" s="69"/>
      <c r="HW21" s="69"/>
      <c r="HX21" s="69"/>
      <c r="HY21" s="69"/>
      <c r="HZ21" s="69"/>
      <c r="IA21" s="69"/>
      <c r="IB21" s="69"/>
      <c r="IC21" s="69"/>
      <c r="ID21" s="69"/>
      <c r="IE21" s="69"/>
      <c r="IF21" s="69"/>
      <c r="IG21" s="69"/>
      <c r="IH21" s="69"/>
      <c r="II21" s="69"/>
      <c r="IJ21" s="69"/>
      <c r="IK21" s="69"/>
      <c r="IL21" s="69"/>
      <c r="IM21" s="69"/>
      <c r="IN21" s="69"/>
      <c r="IO21" s="69"/>
      <c r="IP21" s="69"/>
      <c r="IQ21" s="69"/>
      <c r="IR21" s="69"/>
      <c r="IS21" s="69"/>
      <c r="IT21" s="69"/>
      <c r="IU21" s="69"/>
      <c r="IV21" s="69"/>
      <c r="IW21" s="69"/>
      <c r="IX21" s="69"/>
      <c r="IY21" s="69"/>
      <c r="IZ21" s="69"/>
      <c r="JA21" s="69"/>
      <c r="JB21" s="69"/>
      <c r="JC21" s="69"/>
      <c r="JD21" s="69"/>
      <c r="JE21" s="69"/>
      <c r="JF21" s="69"/>
      <c r="JG21" s="69"/>
      <c r="JH21" s="69"/>
      <c r="JI21" s="69"/>
      <c r="JJ21" s="69"/>
      <c r="JK21" s="69"/>
      <c r="JL21" s="69"/>
      <c r="JM21" s="69"/>
      <c r="JN21" s="69"/>
      <c r="JO21" s="69"/>
      <c r="JP21" s="69"/>
      <c r="JQ21" s="69"/>
      <c r="JR21" s="69"/>
    </row>
    <row r="22" spans="1:278" s="68" customFormat="1" ht="23.25" customHeight="1" x14ac:dyDescent="0.2">
      <c r="B22" s="68" t="s">
        <v>44</v>
      </c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  <c r="DG22" s="69"/>
      <c r="DH22" s="69"/>
      <c r="DI22" s="69"/>
      <c r="DJ22" s="69"/>
      <c r="DK22" s="69"/>
      <c r="DL22" s="69"/>
      <c r="DM22" s="69"/>
      <c r="DN22" s="69"/>
      <c r="DO22" s="69"/>
      <c r="DP22" s="69"/>
      <c r="DQ22" s="69"/>
      <c r="DR22" s="69"/>
      <c r="DS22" s="69"/>
      <c r="DT22" s="69"/>
      <c r="DU22" s="69"/>
      <c r="DV22" s="69"/>
      <c r="DW22" s="69"/>
      <c r="DX22" s="69"/>
      <c r="DY22" s="69"/>
      <c r="DZ22" s="69"/>
      <c r="EA22" s="69"/>
      <c r="EB22" s="69"/>
      <c r="EC22" s="69"/>
      <c r="ED22" s="69"/>
      <c r="EE22" s="69"/>
      <c r="EF22" s="69"/>
      <c r="EG22" s="69"/>
      <c r="EH22" s="69"/>
      <c r="EI22" s="69"/>
      <c r="EJ22" s="69"/>
      <c r="EK22" s="69"/>
      <c r="EL22" s="69"/>
      <c r="EM22" s="69"/>
      <c r="EN22" s="69"/>
      <c r="EO22" s="69"/>
      <c r="EP22" s="69"/>
      <c r="EQ22" s="69"/>
      <c r="ER22" s="69"/>
      <c r="ES22" s="69"/>
      <c r="ET22" s="69"/>
      <c r="EU22" s="69"/>
      <c r="EV22" s="69"/>
      <c r="EW22" s="69"/>
      <c r="EX22" s="69"/>
      <c r="EY22" s="69"/>
      <c r="EZ22" s="69"/>
      <c r="FA22" s="69"/>
      <c r="FB22" s="69"/>
      <c r="FC22" s="69"/>
      <c r="FD22" s="69"/>
      <c r="FE22" s="69"/>
      <c r="FF22" s="69"/>
      <c r="FG22" s="69"/>
      <c r="FH22" s="69"/>
      <c r="FI22" s="69"/>
      <c r="FJ22" s="69"/>
      <c r="FK22" s="69"/>
      <c r="FL22" s="69"/>
      <c r="FM22" s="69"/>
      <c r="FN22" s="69"/>
      <c r="FO22" s="69"/>
      <c r="FP22" s="69"/>
      <c r="FQ22" s="69"/>
      <c r="FR22" s="69"/>
      <c r="FS22" s="69"/>
      <c r="FT22" s="69"/>
      <c r="FU22" s="69"/>
      <c r="FV22" s="69"/>
      <c r="FW22" s="69"/>
      <c r="FX22" s="69"/>
      <c r="FY22" s="69"/>
      <c r="FZ22" s="69"/>
      <c r="GA22" s="69"/>
      <c r="GB22" s="69"/>
      <c r="GC22" s="69"/>
      <c r="GD22" s="69"/>
      <c r="GE22" s="69"/>
      <c r="GF22" s="69"/>
      <c r="GG22" s="69"/>
      <c r="GH22" s="69"/>
      <c r="GI22" s="69"/>
      <c r="GJ22" s="69"/>
      <c r="GK22" s="69"/>
      <c r="GL22" s="69"/>
      <c r="GM22" s="69"/>
      <c r="GN22" s="69"/>
      <c r="GO22" s="69"/>
      <c r="GP22" s="69"/>
      <c r="GQ22" s="69"/>
      <c r="GR22" s="69"/>
      <c r="GS22" s="69"/>
      <c r="GT22" s="69"/>
      <c r="GU22" s="69"/>
      <c r="GV22" s="69"/>
      <c r="GW22" s="69"/>
      <c r="GX22" s="69"/>
      <c r="GY22" s="69"/>
      <c r="GZ22" s="69"/>
      <c r="HA22" s="69"/>
      <c r="HB22" s="69"/>
      <c r="HC22" s="69"/>
      <c r="HD22" s="69"/>
      <c r="HE22" s="69"/>
      <c r="HF22" s="69"/>
      <c r="HG22" s="69"/>
      <c r="HH22" s="69"/>
      <c r="HI22" s="69"/>
      <c r="HJ22" s="69"/>
      <c r="HK22" s="69"/>
      <c r="HL22" s="69"/>
      <c r="HM22" s="69"/>
      <c r="HN22" s="69"/>
      <c r="HO22" s="69"/>
      <c r="HP22" s="69"/>
      <c r="HQ22" s="69"/>
      <c r="HR22" s="69"/>
      <c r="HS22" s="69"/>
      <c r="HT22" s="69"/>
      <c r="HU22" s="69"/>
      <c r="HV22" s="69"/>
      <c r="HW22" s="69"/>
      <c r="HX22" s="69"/>
      <c r="HY22" s="69"/>
      <c r="HZ22" s="69"/>
      <c r="IA22" s="69"/>
      <c r="IB22" s="69"/>
      <c r="IC22" s="69"/>
      <c r="ID22" s="69"/>
      <c r="IE22" s="69"/>
      <c r="IF22" s="69"/>
      <c r="IG22" s="69"/>
      <c r="IH22" s="69"/>
      <c r="II22" s="69"/>
      <c r="IJ22" s="69"/>
      <c r="IK22" s="69"/>
      <c r="IL22" s="69"/>
      <c r="IM22" s="69"/>
      <c r="IN22" s="69"/>
      <c r="IO22" s="69"/>
      <c r="IP22" s="69"/>
      <c r="IQ22" s="69"/>
      <c r="IR22" s="69"/>
      <c r="IS22" s="69"/>
      <c r="IT22" s="69"/>
      <c r="IU22" s="69"/>
      <c r="IV22" s="69"/>
      <c r="IW22" s="69"/>
      <c r="IX22" s="69"/>
      <c r="IY22" s="69"/>
      <c r="IZ22" s="69"/>
      <c r="JA22" s="69"/>
      <c r="JB22" s="69"/>
      <c r="JC22" s="69"/>
      <c r="JD22" s="69"/>
      <c r="JE22" s="69"/>
      <c r="JF22" s="69"/>
      <c r="JG22" s="69"/>
      <c r="JH22" s="69"/>
      <c r="JI22" s="69"/>
      <c r="JJ22" s="69"/>
      <c r="JK22" s="69"/>
      <c r="JL22" s="69"/>
      <c r="JM22" s="69"/>
      <c r="JN22" s="69"/>
      <c r="JO22" s="69"/>
      <c r="JP22" s="69"/>
      <c r="JQ22" s="69"/>
      <c r="JR22" s="69"/>
    </row>
    <row r="23" spans="1:278" s="68" customFormat="1" ht="23.25" customHeight="1" x14ac:dyDescent="0.2"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69"/>
      <c r="DA23" s="69"/>
      <c r="DB23" s="69"/>
      <c r="DC23" s="69"/>
      <c r="DD23" s="69"/>
      <c r="DE23" s="69"/>
      <c r="DF23" s="69"/>
      <c r="DG23" s="69"/>
      <c r="DH23" s="69"/>
      <c r="DI23" s="69"/>
      <c r="DJ23" s="69"/>
      <c r="DK23" s="69"/>
      <c r="DL23" s="69"/>
      <c r="DM23" s="69"/>
      <c r="DN23" s="69"/>
      <c r="DO23" s="69"/>
      <c r="DP23" s="69"/>
      <c r="DQ23" s="69"/>
      <c r="DR23" s="69"/>
      <c r="DS23" s="69"/>
      <c r="DT23" s="69"/>
      <c r="DU23" s="69"/>
      <c r="DV23" s="69"/>
      <c r="DW23" s="69"/>
      <c r="DX23" s="69"/>
      <c r="DY23" s="69"/>
      <c r="DZ23" s="69"/>
      <c r="EA23" s="69"/>
      <c r="EB23" s="69"/>
      <c r="EC23" s="69"/>
      <c r="ED23" s="69"/>
      <c r="EE23" s="69"/>
      <c r="EF23" s="69"/>
      <c r="EG23" s="69"/>
      <c r="EH23" s="69"/>
      <c r="EI23" s="69"/>
      <c r="EJ23" s="69"/>
      <c r="EK23" s="69"/>
      <c r="EL23" s="69"/>
      <c r="EM23" s="69"/>
      <c r="EN23" s="69"/>
      <c r="EO23" s="69"/>
      <c r="EP23" s="69"/>
      <c r="EQ23" s="69"/>
      <c r="ER23" s="69"/>
      <c r="ES23" s="69"/>
      <c r="ET23" s="69"/>
      <c r="EU23" s="69"/>
      <c r="EV23" s="69"/>
      <c r="EW23" s="69"/>
      <c r="EX23" s="69"/>
      <c r="EY23" s="69"/>
      <c r="EZ23" s="69"/>
      <c r="FA23" s="69"/>
      <c r="FB23" s="69"/>
      <c r="FC23" s="69"/>
      <c r="FD23" s="69"/>
      <c r="FE23" s="69"/>
      <c r="FF23" s="69"/>
      <c r="FG23" s="69"/>
      <c r="FH23" s="69"/>
      <c r="FI23" s="69"/>
      <c r="FJ23" s="69"/>
      <c r="FK23" s="69"/>
      <c r="FL23" s="69"/>
      <c r="FM23" s="69"/>
      <c r="FN23" s="69"/>
      <c r="FO23" s="69"/>
      <c r="FP23" s="69"/>
      <c r="FQ23" s="69"/>
      <c r="FR23" s="69"/>
      <c r="FS23" s="69"/>
      <c r="FT23" s="69"/>
      <c r="FU23" s="69"/>
      <c r="FV23" s="69"/>
      <c r="FW23" s="69"/>
      <c r="FX23" s="69"/>
      <c r="FY23" s="69"/>
      <c r="FZ23" s="69"/>
      <c r="GA23" s="69"/>
      <c r="GB23" s="69"/>
      <c r="GC23" s="69"/>
      <c r="GD23" s="69"/>
      <c r="GE23" s="69"/>
      <c r="GF23" s="69"/>
      <c r="GG23" s="69"/>
      <c r="GH23" s="69"/>
      <c r="GI23" s="69"/>
      <c r="GJ23" s="69"/>
      <c r="GK23" s="69"/>
      <c r="GL23" s="69"/>
      <c r="GM23" s="69"/>
      <c r="GN23" s="69"/>
      <c r="GO23" s="69"/>
      <c r="GP23" s="69"/>
      <c r="GQ23" s="69"/>
      <c r="GR23" s="69"/>
      <c r="GS23" s="69"/>
      <c r="GT23" s="69"/>
      <c r="GU23" s="69"/>
      <c r="GV23" s="69"/>
      <c r="GW23" s="69"/>
      <c r="GX23" s="69"/>
      <c r="GY23" s="69"/>
      <c r="GZ23" s="69"/>
      <c r="HA23" s="69"/>
      <c r="HB23" s="69"/>
      <c r="HC23" s="69"/>
      <c r="HD23" s="69"/>
      <c r="HE23" s="69"/>
      <c r="HF23" s="69"/>
      <c r="HG23" s="69"/>
      <c r="HH23" s="69"/>
      <c r="HI23" s="69"/>
      <c r="HJ23" s="69"/>
      <c r="HK23" s="69"/>
      <c r="HL23" s="69"/>
      <c r="HM23" s="69"/>
      <c r="HN23" s="69"/>
      <c r="HO23" s="69"/>
      <c r="HP23" s="69"/>
      <c r="HQ23" s="69"/>
      <c r="HR23" s="69"/>
      <c r="HS23" s="69"/>
      <c r="HT23" s="69"/>
      <c r="HU23" s="69"/>
      <c r="HV23" s="69"/>
      <c r="HW23" s="69"/>
      <c r="HX23" s="69"/>
      <c r="HY23" s="69"/>
      <c r="HZ23" s="69"/>
      <c r="IA23" s="69"/>
      <c r="IB23" s="69"/>
      <c r="IC23" s="69"/>
      <c r="ID23" s="69"/>
      <c r="IE23" s="69"/>
      <c r="IF23" s="69"/>
      <c r="IG23" s="69"/>
      <c r="IH23" s="69"/>
      <c r="II23" s="69"/>
      <c r="IJ23" s="69"/>
      <c r="IK23" s="69"/>
      <c r="IL23" s="69"/>
      <c r="IM23" s="69"/>
      <c r="IN23" s="69"/>
      <c r="IO23" s="69"/>
      <c r="IP23" s="69"/>
      <c r="IQ23" s="69"/>
      <c r="IR23" s="69"/>
      <c r="IS23" s="69"/>
      <c r="IT23" s="69"/>
      <c r="IU23" s="69"/>
      <c r="IV23" s="69"/>
      <c r="IW23" s="69"/>
      <c r="IX23" s="69"/>
      <c r="IY23" s="69"/>
      <c r="IZ23" s="69"/>
      <c r="JA23" s="69"/>
      <c r="JB23" s="69"/>
      <c r="JC23" s="69"/>
      <c r="JD23" s="69"/>
      <c r="JE23" s="69"/>
      <c r="JF23" s="69"/>
      <c r="JG23" s="69"/>
      <c r="JH23" s="69"/>
      <c r="JI23" s="69"/>
      <c r="JJ23" s="69"/>
      <c r="JK23" s="69"/>
      <c r="JL23" s="69"/>
      <c r="JM23" s="69"/>
      <c r="JN23" s="69"/>
      <c r="JO23" s="69"/>
      <c r="JP23" s="69"/>
      <c r="JQ23" s="69"/>
      <c r="JR23" s="69"/>
    </row>
    <row r="24" spans="1:278" s="68" customFormat="1" ht="23.25" customHeight="1" x14ac:dyDescent="0.2"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69"/>
      <c r="CE24" s="69"/>
      <c r="CF24" s="69"/>
      <c r="CG24" s="69"/>
      <c r="CH24" s="69"/>
      <c r="CI24" s="69"/>
      <c r="CJ24" s="69"/>
      <c r="CK24" s="69"/>
      <c r="CL24" s="69"/>
      <c r="CM24" s="69"/>
      <c r="CN24" s="69"/>
      <c r="CO24" s="69"/>
      <c r="CP24" s="69"/>
      <c r="CQ24" s="69"/>
      <c r="CR24" s="69"/>
      <c r="CS24" s="69"/>
      <c r="CT24" s="69"/>
      <c r="CU24" s="69"/>
      <c r="CV24" s="69"/>
      <c r="CW24" s="69"/>
      <c r="CX24" s="69"/>
      <c r="CY24" s="69"/>
      <c r="CZ24" s="69"/>
      <c r="DA24" s="69"/>
      <c r="DB24" s="69"/>
      <c r="DC24" s="69"/>
      <c r="DD24" s="69"/>
      <c r="DE24" s="69"/>
      <c r="DF24" s="69"/>
      <c r="DG24" s="69"/>
      <c r="DH24" s="69"/>
      <c r="DI24" s="69"/>
      <c r="DJ24" s="69"/>
      <c r="DK24" s="69"/>
      <c r="DL24" s="69"/>
      <c r="DM24" s="69"/>
      <c r="DN24" s="69"/>
      <c r="DO24" s="69"/>
      <c r="DP24" s="69"/>
      <c r="DQ24" s="69"/>
      <c r="DR24" s="69"/>
      <c r="DS24" s="69"/>
      <c r="DT24" s="69"/>
      <c r="DU24" s="69"/>
      <c r="DV24" s="69"/>
      <c r="DW24" s="69"/>
      <c r="DX24" s="69"/>
      <c r="DY24" s="69"/>
      <c r="DZ24" s="69"/>
      <c r="EA24" s="69"/>
      <c r="EB24" s="69"/>
      <c r="EC24" s="69"/>
      <c r="ED24" s="69"/>
      <c r="EE24" s="69"/>
      <c r="EF24" s="69"/>
      <c r="EG24" s="69"/>
      <c r="EH24" s="69"/>
      <c r="EI24" s="69"/>
      <c r="EJ24" s="69"/>
      <c r="EK24" s="69"/>
      <c r="EL24" s="69"/>
      <c r="EM24" s="69"/>
      <c r="EN24" s="69"/>
      <c r="EO24" s="69"/>
      <c r="EP24" s="69"/>
      <c r="EQ24" s="69"/>
      <c r="ER24" s="69"/>
      <c r="ES24" s="69"/>
      <c r="ET24" s="69"/>
      <c r="EU24" s="69"/>
      <c r="EV24" s="69"/>
      <c r="EW24" s="69"/>
      <c r="EX24" s="69"/>
      <c r="EY24" s="69"/>
      <c r="EZ24" s="69"/>
      <c r="FA24" s="69"/>
      <c r="FB24" s="69"/>
      <c r="FC24" s="69"/>
      <c r="FD24" s="69"/>
      <c r="FE24" s="69"/>
      <c r="FF24" s="69"/>
      <c r="FG24" s="69"/>
      <c r="FH24" s="69"/>
      <c r="FI24" s="69"/>
      <c r="FJ24" s="69"/>
      <c r="FK24" s="69"/>
      <c r="FL24" s="69"/>
      <c r="FM24" s="69"/>
      <c r="FN24" s="69"/>
      <c r="FO24" s="69"/>
      <c r="FP24" s="69"/>
      <c r="FQ24" s="69"/>
      <c r="FR24" s="69"/>
      <c r="FS24" s="69"/>
      <c r="FT24" s="69"/>
      <c r="FU24" s="69"/>
      <c r="FV24" s="69"/>
      <c r="FW24" s="69"/>
      <c r="FX24" s="69"/>
      <c r="FY24" s="69"/>
      <c r="FZ24" s="69"/>
      <c r="GA24" s="69"/>
      <c r="GB24" s="69"/>
      <c r="GC24" s="69"/>
      <c r="GD24" s="69"/>
      <c r="GE24" s="69"/>
      <c r="GF24" s="69"/>
      <c r="GG24" s="69"/>
      <c r="GH24" s="69"/>
      <c r="GI24" s="69"/>
      <c r="GJ24" s="69"/>
      <c r="GK24" s="69"/>
      <c r="GL24" s="69"/>
      <c r="GM24" s="69"/>
      <c r="GN24" s="69"/>
      <c r="GO24" s="69"/>
      <c r="GP24" s="69"/>
      <c r="GQ24" s="69"/>
      <c r="GR24" s="69"/>
      <c r="GS24" s="69"/>
      <c r="GT24" s="69"/>
      <c r="GU24" s="69"/>
      <c r="GV24" s="69"/>
      <c r="GW24" s="69"/>
      <c r="GX24" s="69"/>
      <c r="GY24" s="69"/>
      <c r="GZ24" s="69"/>
      <c r="HA24" s="69"/>
      <c r="HB24" s="69"/>
      <c r="HC24" s="69"/>
      <c r="HD24" s="69"/>
      <c r="HE24" s="69"/>
      <c r="HF24" s="69"/>
      <c r="HG24" s="69"/>
      <c r="HH24" s="69"/>
      <c r="HI24" s="69"/>
      <c r="HJ24" s="69"/>
      <c r="HK24" s="69"/>
      <c r="HL24" s="69"/>
      <c r="HM24" s="69"/>
      <c r="HN24" s="69"/>
      <c r="HO24" s="69"/>
      <c r="HP24" s="69"/>
      <c r="HQ24" s="69"/>
      <c r="HR24" s="69"/>
      <c r="HS24" s="69"/>
      <c r="HT24" s="69"/>
      <c r="HU24" s="69"/>
      <c r="HV24" s="69"/>
      <c r="HW24" s="69"/>
      <c r="HX24" s="69"/>
      <c r="HY24" s="69"/>
      <c r="HZ24" s="69"/>
      <c r="IA24" s="69"/>
      <c r="IB24" s="69"/>
      <c r="IC24" s="69"/>
      <c r="ID24" s="69"/>
      <c r="IE24" s="69"/>
      <c r="IF24" s="69"/>
      <c r="IG24" s="69"/>
      <c r="IH24" s="69"/>
      <c r="II24" s="69"/>
      <c r="IJ24" s="69"/>
      <c r="IK24" s="69"/>
      <c r="IL24" s="69"/>
      <c r="IM24" s="69"/>
      <c r="IN24" s="69"/>
      <c r="IO24" s="69"/>
      <c r="IP24" s="69"/>
      <c r="IQ24" s="69"/>
      <c r="IR24" s="69"/>
      <c r="IS24" s="69"/>
      <c r="IT24" s="69"/>
      <c r="IU24" s="69"/>
      <c r="IV24" s="69"/>
      <c r="IW24" s="69"/>
      <c r="IX24" s="69"/>
      <c r="IY24" s="69"/>
      <c r="IZ24" s="69"/>
      <c r="JA24" s="69"/>
      <c r="JB24" s="69"/>
      <c r="JC24" s="69"/>
      <c r="JD24" s="69"/>
      <c r="JE24" s="69"/>
      <c r="JF24" s="69"/>
      <c r="JG24" s="69"/>
      <c r="JH24" s="69"/>
      <c r="JI24" s="69"/>
      <c r="JJ24" s="69"/>
      <c r="JK24" s="69"/>
      <c r="JL24" s="69"/>
      <c r="JM24" s="69"/>
      <c r="JN24" s="69"/>
      <c r="JO24" s="69"/>
      <c r="JP24" s="69"/>
      <c r="JQ24" s="69"/>
      <c r="JR24" s="69"/>
    </row>
    <row r="25" spans="1:278" ht="18.75" customHeight="1" x14ac:dyDescent="0.25">
      <c r="A25" s="43"/>
      <c r="B25" s="108" t="s">
        <v>24</v>
      </c>
      <c r="C25" s="109"/>
      <c r="D25" s="109"/>
      <c r="E25" s="109"/>
      <c r="F25" s="110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</row>
    <row r="26" spans="1:278" ht="23.25" customHeight="1" x14ac:dyDescent="0.2">
      <c r="B26" s="41" t="s">
        <v>45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</row>
    <row r="27" spans="1:278" ht="23.25" customHeight="1" x14ac:dyDescent="0.2">
      <c r="B27" s="41" t="s">
        <v>46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</row>
    <row r="28" spans="1:278" ht="15.75" customHeight="1" x14ac:dyDescent="0.2"/>
    <row r="29" spans="1:278" ht="15.75" customHeight="1" x14ac:dyDescent="0.2"/>
    <row r="30" spans="1:278" ht="15.75" customHeight="1" x14ac:dyDescent="0.2"/>
    <row r="31" spans="1:278" ht="15.75" customHeight="1" x14ac:dyDescent="0.2"/>
    <row r="32" spans="1:27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mergeCells count="11">
    <mergeCell ref="B20:F20"/>
    <mergeCell ref="B25:F25"/>
    <mergeCell ref="B5:D5"/>
    <mergeCell ref="C1:E1"/>
    <mergeCell ref="B16:D16"/>
    <mergeCell ref="B4:D4"/>
    <mergeCell ref="B13:D13"/>
    <mergeCell ref="B14:D14"/>
    <mergeCell ref="B3:D3"/>
    <mergeCell ref="B6:D6"/>
    <mergeCell ref="B7:D7"/>
  </mergeCells>
  <pageMargins left="0.59055118110236227" right="0.31496062992125984" top="0.74803149606299213" bottom="0.35433070866141736" header="0" footer="0"/>
  <pageSetup paperSize="9" scale="8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4A03-9890-4177-8004-C1429579ED68}">
  <sheetPr>
    <pageSetUpPr fitToPage="1"/>
  </sheetPr>
  <dimension ref="A1:JR959"/>
  <sheetViews>
    <sheetView workbookViewId="0">
      <selection activeCell="F5" sqref="F5"/>
    </sheetView>
  </sheetViews>
  <sheetFormatPr baseColWidth="10" defaultColWidth="14.5" defaultRowHeight="15" x14ac:dyDescent="0.2"/>
  <cols>
    <col min="1" max="1" width="2.6640625" customWidth="1"/>
    <col min="2" max="2" width="10.6640625" customWidth="1"/>
    <col min="3" max="3" width="14.83203125" customWidth="1"/>
    <col min="4" max="4" width="20.1640625" customWidth="1"/>
    <col min="5" max="5" width="28.83203125" customWidth="1"/>
    <col min="6" max="6" width="38.1640625" customWidth="1"/>
    <col min="7" max="7" width="10.6640625" customWidth="1"/>
  </cols>
  <sheetData>
    <row r="1" spans="1:278" ht="72.75" customHeight="1" x14ac:dyDescent="0.2">
      <c r="A1" s="7"/>
      <c r="B1" s="13" t="str">
        <f>+'lista de precios 824'!B1</f>
        <v>Lista 0225</v>
      </c>
      <c r="C1" s="104" t="s">
        <v>4</v>
      </c>
      <c r="D1" s="104"/>
      <c r="E1" s="104"/>
      <c r="F1" s="31"/>
    </row>
    <row r="2" spans="1:278" ht="32.25" customHeight="1" x14ac:dyDescent="0.2">
      <c r="A2" s="26"/>
      <c r="B2" s="25" t="s">
        <v>10</v>
      </c>
      <c r="C2" s="17"/>
      <c r="D2" s="17"/>
      <c r="E2" s="17"/>
      <c r="F2" s="21"/>
    </row>
    <row r="3" spans="1:278" s="9" customFormat="1" ht="30" customHeight="1" x14ac:dyDescent="0.2">
      <c r="A3" s="3"/>
      <c r="B3" s="120" t="s">
        <v>15</v>
      </c>
      <c r="C3" s="121"/>
      <c r="D3" s="122"/>
      <c r="E3" s="15" t="s">
        <v>6</v>
      </c>
      <c r="F3" s="15" t="s">
        <v>12</v>
      </c>
    </row>
    <row r="4" spans="1:278" ht="72.75" customHeight="1" x14ac:dyDescent="0.2">
      <c r="A4" s="8"/>
      <c r="B4" s="123" t="s">
        <v>47</v>
      </c>
      <c r="C4" s="124"/>
      <c r="D4" s="125"/>
      <c r="E4" s="33">
        <f>+'lista de precios 824'!E18</f>
        <v>15000</v>
      </c>
      <c r="F4" s="70">
        <f>+E4*1.105</f>
        <v>16575</v>
      </c>
    </row>
    <row r="5" spans="1:278" ht="72.75" customHeight="1" x14ac:dyDescent="0.2">
      <c r="A5" s="8"/>
      <c r="B5" s="126" t="s">
        <v>48</v>
      </c>
      <c r="C5" s="127"/>
      <c r="D5" s="128"/>
      <c r="E5" s="33">
        <f>+'lista de precios 824'!E19</f>
        <v>12500</v>
      </c>
      <c r="F5" s="70">
        <f>+E5*1.105</f>
        <v>13812.5</v>
      </c>
    </row>
    <row r="6" spans="1:278" ht="22.5" customHeight="1" x14ac:dyDescent="0.2">
      <c r="A6" s="7"/>
      <c r="B6" s="51" t="s">
        <v>18</v>
      </c>
      <c r="C6" s="17"/>
      <c r="D6" s="17"/>
      <c r="E6" s="17"/>
      <c r="F6" s="52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</row>
    <row r="7" spans="1:278" ht="87.75" customHeight="1" x14ac:dyDescent="0.2">
      <c r="A7" s="6"/>
      <c r="B7" s="6"/>
      <c r="C7" s="6"/>
      <c r="D7" s="6"/>
      <c r="E7" s="6"/>
      <c r="F7" s="6"/>
    </row>
    <row r="8" spans="1:278" ht="18.75" customHeight="1" x14ac:dyDescent="0.25">
      <c r="A8" s="43"/>
      <c r="B8" s="108" t="s">
        <v>27</v>
      </c>
      <c r="C8" s="109"/>
      <c r="D8" s="109"/>
      <c r="E8" s="109"/>
      <c r="F8" s="110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</row>
    <row r="9" spans="1:278" s="68" customFormat="1" ht="23.25" customHeight="1" x14ac:dyDescent="0.2">
      <c r="B9" s="68" t="s">
        <v>22</v>
      </c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69"/>
      <c r="CX9" s="69"/>
      <c r="CY9" s="69"/>
      <c r="CZ9" s="69"/>
      <c r="DA9" s="69"/>
      <c r="DB9" s="69"/>
      <c r="DC9" s="69"/>
      <c r="DD9" s="69"/>
      <c r="DE9" s="69"/>
      <c r="DF9" s="69"/>
      <c r="DG9" s="69"/>
      <c r="DH9" s="69"/>
      <c r="DI9" s="69"/>
      <c r="DJ9" s="69"/>
      <c r="DK9" s="69"/>
      <c r="DL9" s="69"/>
      <c r="DM9" s="69"/>
      <c r="DN9" s="69"/>
      <c r="DO9" s="69"/>
      <c r="DP9" s="69"/>
      <c r="DQ9" s="69"/>
      <c r="DR9" s="69"/>
      <c r="DS9" s="69"/>
      <c r="DT9" s="69"/>
      <c r="DU9" s="69"/>
      <c r="DV9" s="69"/>
      <c r="DW9" s="69"/>
      <c r="DX9" s="69"/>
      <c r="DY9" s="69"/>
      <c r="DZ9" s="69"/>
      <c r="EA9" s="69"/>
      <c r="EB9" s="69"/>
      <c r="EC9" s="69"/>
      <c r="ED9" s="69"/>
      <c r="EE9" s="69"/>
      <c r="EF9" s="69"/>
      <c r="EG9" s="69"/>
      <c r="EH9" s="69"/>
      <c r="EI9" s="69"/>
      <c r="EJ9" s="69"/>
      <c r="EK9" s="69"/>
      <c r="EL9" s="69"/>
      <c r="EM9" s="69"/>
      <c r="EN9" s="69"/>
      <c r="EO9" s="69"/>
      <c r="EP9" s="69"/>
      <c r="EQ9" s="69"/>
      <c r="ER9" s="69"/>
      <c r="ES9" s="69"/>
      <c r="ET9" s="69"/>
      <c r="EU9" s="69"/>
      <c r="EV9" s="69"/>
      <c r="EW9" s="69"/>
      <c r="EX9" s="69"/>
      <c r="EY9" s="69"/>
      <c r="EZ9" s="69"/>
      <c r="FA9" s="69"/>
      <c r="FB9" s="69"/>
      <c r="FC9" s="69"/>
      <c r="FD9" s="69"/>
      <c r="FE9" s="69"/>
      <c r="FF9" s="69"/>
      <c r="FG9" s="69"/>
      <c r="FH9" s="69"/>
      <c r="FI9" s="69"/>
      <c r="FJ9" s="69"/>
      <c r="FK9" s="69"/>
      <c r="FL9" s="69"/>
      <c r="FM9" s="69"/>
      <c r="FN9" s="69"/>
      <c r="FO9" s="69"/>
      <c r="FP9" s="69"/>
      <c r="FQ9" s="69"/>
      <c r="FR9" s="69"/>
      <c r="FS9" s="69"/>
      <c r="FT9" s="69"/>
      <c r="FU9" s="69"/>
      <c r="FV9" s="69"/>
      <c r="FW9" s="69"/>
      <c r="FX9" s="69"/>
      <c r="FY9" s="69"/>
      <c r="FZ9" s="69"/>
      <c r="GA9" s="69"/>
      <c r="GB9" s="69"/>
      <c r="GC9" s="69"/>
      <c r="GD9" s="69"/>
      <c r="GE9" s="69"/>
      <c r="GF9" s="69"/>
      <c r="GG9" s="69"/>
      <c r="GH9" s="69"/>
      <c r="GI9" s="69"/>
      <c r="GJ9" s="69"/>
      <c r="GK9" s="69"/>
      <c r="GL9" s="69"/>
      <c r="GM9" s="69"/>
      <c r="GN9" s="69"/>
      <c r="GO9" s="69"/>
      <c r="GP9" s="69"/>
      <c r="GQ9" s="69"/>
      <c r="GR9" s="69"/>
      <c r="GS9" s="69"/>
      <c r="GT9" s="69"/>
      <c r="GU9" s="69"/>
      <c r="GV9" s="69"/>
      <c r="GW9" s="69"/>
      <c r="GX9" s="69"/>
      <c r="GY9" s="69"/>
      <c r="GZ9" s="69"/>
      <c r="HA9" s="69"/>
      <c r="HB9" s="69"/>
      <c r="HC9" s="69"/>
      <c r="HD9" s="69"/>
      <c r="HE9" s="69"/>
      <c r="HF9" s="69"/>
      <c r="HG9" s="69"/>
      <c r="HH9" s="69"/>
      <c r="HI9" s="69"/>
      <c r="HJ9" s="69"/>
      <c r="HK9" s="69"/>
      <c r="HL9" s="69"/>
      <c r="HM9" s="69"/>
      <c r="HN9" s="69"/>
      <c r="HO9" s="69"/>
      <c r="HP9" s="69"/>
      <c r="HQ9" s="69"/>
      <c r="HR9" s="69"/>
      <c r="HS9" s="69"/>
      <c r="HT9" s="69"/>
      <c r="HU9" s="69"/>
      <c r="HV9" s="69"/>
      <c r="HW9" s="69"/>
      <c r="HX9" s="69"/>
      <c r="HY9" s="69"/>
      <c r="HZ9" s="69"/>
      <c r="IA9" s="69"/>
      <c r="IB9" s="69"/>
      <c r="IC9" s="69"/>
      <c r="ID9" s="69"/>
      <c r="IE9" s="69"/>
      <c r="IF9" s="69"/>
      <c r="IG9" s="69"/>
      <c r="IH9" s="69"/>
      <c r="II9" s="69"/>
      <c r="IJ9" s="69"/>
      <c r="IK9" s="69"/>
      <c r="IL9" s="69"/>
      <c r="IM9" s="69"/>
      <c r="IN9" s="69"/>
      <c r="IO9" s="69"/>
      <c r="IP9" s="69"/>
      <c r="IQ9" s="69"/>
      <c r="IR9" s="69"/>
      <c r="IS9" s="69"/>
      <c r="IT9" s="69"/>
      <c r="IU9" s="69"/>
      <c r="IV9" s="69"/>
      <c r="IW9" s="69"/>
      <c r="IX9" s="69"/>
      <c r="IY9" s="69"/>
      <c r="IZ9" s="69"/>
      <c r="JA9" s="69"/>
      <c r="JB9" s="69"/>
      <c r="JC9" s="69"/>
      <c r="JD9" s="69"/>
      <c r="JE9" s="69"/>
      <c r="JF9" s="69"/>
      <c r="JG9" s="69"/>
      <c r="JH9" s="69"/>
      <c r="JI9" s="69"/>
      <c r="JJ9" s="69"/>
      <c r="JK9" s="69"/>
      <c r="JL9" s="69"/>
      <c r="JM9" s="69"/>
      <c r="JN9" s="69"/>
      <c r="JO9" s="69"/>
      <c r="JP9" s="69"/>
      <c r="JQ9" s="69"/>
      <c r="JR9" s="69"/>
    </row>
    <row r="10" spans="1:278" s="68" customFormat="1" ht="23.25" customHeight="1" x14ac:dyDescent="0.2">
      <c r="B10" s="68" t="s">
        <v>44</v>
      </c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CN10" s="69"/>
      <c r="CO10" s="69"/>
      <c r="CP10" s="69"/>
      <c r="CQ10" s="69"/>
      <c r="CR10" s="69"/>
      <c r="CS10" s="69"/>
      <c r="CT10" s="69"/>
      <c r="CU10" s="69"/>
      <c r="CV10" s="69"/>
      <c r="CW10" s="69"/>
      <c r="CX10" s="69"/>
      <c r="CY10" s="69"/>
      <c r="CZ10" s="69"/>
      <c r="DA10" s="69"/>
      <c r="DB10" s="69"/>
      <c r="DC10" s="69"/>
      <c r="DD10" s="69"/>
      <c r="DE10" s="69"/>
      <c r="DF10" s="69"/>
      <c r="DG10" s="69"/>
      <c r="DH10" s="69"/>
      <c r="DI10" s="69"/>
      <c r="DJ10" s="69"/>
      <c r="DK10" s="69"/>
      <c r="DL10" s="69"/>
      <c r="DM10" s="69"/>
      <c r="DN10" s="69"/>
      <c r="DO10" s="69"/>
      <c r="DP10" s="69"/>
      <c r="DQ10" s="69"/>
      <c r="DR10" s="69"/>
      <c r="DS10" s="69"/>
      <c r="DT10" s="69"/>
      <c r="DU10" s="69"/>
      <c r="DV10" s="69"/>
      <c r="DW10" s="69"/>
      <c r="DX10" s="69"/>
      <c r="DY10" s="69"/>
      <c r="DZ10" s="69"/>
      <c r="EA10" s="69"/>
      <c r="EB10" s="69"/>
      <c r="EC10" s="69"/>
      <c r="ED10" s="69"/>
      <c r="EE10" s="69"/>
      <c r="EF10" s="69"/>
      <c r="EG10" s="69"/>
      <c r="EH10" s="69"/>
      <c r="EI10" s="69"/>
      <c r="EJ10" s="69"/>
      <c r="EK10" s="69"/>
      <c r="EL10" s="69"/>
      <c r="EM10" s="69"/>
      <c r="EN10" s="69"/>
      <c r="EO10" s="69"/>
      <c r="EP10" s="69"/>
      <c r="EQ10" s="69"/>
      <c r="ER10" s="69"/>
      <c r="ES10" s="69"/>
      <c r="ET10" s="69"/>
      <c r="EU10" s="69"/>
      <c r="EV10" s="69"/>
      <c r="EW10" s="69"/>
      <c r="EX10" s="69"/>
      <c r="EY10" s="69"/>
      <c r="EZ10" s="69"/>
      <c r="FA10" s="69"/>
      <c r="FB10" s="69"/>
      <c r="FC10" s="69"/>
      <c r="FD10" s="69"/>
      <c r="FE10" s="69"/>
      <c r="FF10" s="69"/>
      <c r="FG10" s="69"/>
      <c r="FH10" s="69"/>
      <c r="FI10" s="69"/>
      <c r="FJ10" s="69"/>
      <c r="FK10" s="69"/>
      <c r="FL10" s="69"/>
      <c r="FM10" s="69"/>
      <c r="FN10" s="69"/>
      <c r="FO10" s="69"/>
      <c r="FP10" s="69"/>
      <c r="FQ10" s="69"/>
      <c r="FR10" s="69"/>
      <c r="FS10" s="69"/>
      <c r="FT10" s="69"/>
      <c r="FU10" s="69"/>
      <c r="FV10" s="69"/>
      <c r="FW10" s="69"/>
      <c r="FX10" s="69"/>
      <c r="FY10" s="69"/>
      <c r="FZ10" s="69"/>
      <c r="GA10" s="69"/>
      <c r="GB10" s="69"/>
      <c r="GC10" s="69"/>
      <c r="GD10" s="69"/>
      <c r="GE10" s="69"/>
      <c r="GF10" s="69"/>
      <c r="GG10" s="69"/>
      <c r="GH10" s="69"/>
      <c r="GI10" s="69"/>
      <c r="GJ10" s="69"/>
      <c r="GK10" s="69"/>
      <c r="GL10" s="69"/>
      <c r="GM10" s="69"/>
      <c r="GN10" s="69"/>
      <c r="GO10" s="69"/>
      <c r="GP10" s="69"/>
      <c r="GQ10" s="69"/>
      <c r="GR10" s="69"/>
      <c r="GS10" s="69"/>
      <c r="GT10" s="69"/>
      <c r="GU10" s="69"/>
      <c r="GV10" s="69"/>
      <c r="GW10" s="69"/>
      <c r="GX10" s="69"/>
      <c r="GY10" s="69"/>
      <c r="GZ10" s="69"/>
      <c r="HA10" s="69"/>
      <c r="HB10" s="69"/>
      <c r="HC10" s="69"/>
      <c r="HD10" s="69"/>
      <c r="HE10" s="69"/>
      <c r="HF10" s="69"/>
      <c r="HG10" s="69"/>
      <c r="HH10" s="69"/>
      <c r="HI10" s="69"/>
      <c r="HJ10" s="69"/>
      <c r="HK10" s="69"/>
      <c r="HL10" s="69"/>
      <c r="HM10" s="69"/>
      <c r="HN10" s="69"/>
      <c r="HO10" s="69"/>
      <c r="HP10" s="69"/>
      <c r="HQ10" s="69"/>
      <c r="HR10" s="69"/>
      <c r="HS10" s="69"/>
      <c r="HT10" s="69"/>
      <c r="HU10" s="69"/>
      <c r="HV10" s="69"/>
      <c r="HW10" s="69"/>
      <c r="HX10" s="69"/>
      <c r="HY10" s="69"/>
      <c r="HZ10" s="69"/>
      <c r="IA10" s="69"/>
      <c r="IB10" s="69"/>
      <c r="IC10" s="69"/>
      <c r="ID10" s="69"/>
      <c r="IE10" s="69"/>
      <c r="IF10" s="69"/>
      <c r="IG10" s="69"/>
      <c r="IH10" s="69"/>
      <c r="II10" s="69"/>
      <c r="IJ10" s="69"/>
      <c r="IK10" s="69"/>
      <c r="IL10" s="69"/>
      <c r="IM10" s="69"/>
      <c r="IN10" s="69"/>
      <c r="IO10" s="69"/>
      <c r="IP10" s="69"/>
      <c r="IQ10" s="69"/>
      <c r="IR10" s="69"/>
      <c r="IS10" s="69"/>
      <c r="IT10" s="69"/>
      <c r="IU10" s="69"/>
      <c r="IV10" s="69"/>
      <c r="IW10" s="69"/>
      <c r="IX10" s="69"/>
      <c r="IY10" s="69"/>
      <c r="IZ10" s="69"/>
      <c r="JA10" s="69"/>
      <c r="JB10" s="69"/>
      <c r="JC10" s="69"/>
      <c r="JD10" s="69"/>
      <c r="JE10" s="69"/>
      <c r="JF10" s="69"/>
      <c r="JG10" s="69"/>
      <c r="JH10" s="69"/>
      <c r="JI10" s="69"/>
      <c r="JJ10" s="69"/>
      <c r="JK10" s="69"/>
      <c r="JL10" s="69"/>
      <c r="JM10" s="69"/>
      <c r="JN10" s="69"/>
      <c r="JO10" s="69"/>
      <c r="JP10" s="69"/>
      <c r="JQ10" s="69"/>
      <c r="JR10" s="69"/>
    </row>
    <row r="11" spans="1:278" s="68" customFormat="1" ht="23.25" customHeight="1" x14ac:dyDescent="0.2"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69"/>
      <c r="CV11" s="69"/>
      <c r="CW11" s="69"/>
      <c r="CX11" s="69"/>
      <c r="CY11" s="69"/>
      <c r="CZ11" s="69"/>
      <c r="DA11" s="69"/>
      <c r="DB11" s="69"/>
      <c r="DC11" s="69"/>
      <c r="DD11" s="69"/>
      <c r="DE11" s="69"/>
      <c r="DF11" s="69"/>
      <c r="DG11" s="69"/>
      <c r="DH11" s="69"/>
      <c r="DI11" s="69"/>
      <c r="DJ11" s="69"/>
      <c r="DK11" s="69"/>
      <c r="DL11" s="69"/>
      <c r="DM11" s="69"/>
      <c r="DN11" s="69"/>
      <c r="DO11" s="69"/>
      <c r="DP11" s="69"/>
      <c r="DQ11" s="69"/>
      <c r="DR11" s="69"/>
      <c r="DS11" s="69"/>
      <c r="DT11" s="69"/>
      <c r="DU11" s="69"/>
      <c r="DV11" s="69"/>
      <c r="DW11" s="69"/>
      <c r="DX11" s="69"/>
      <c r="DY11" s="69"/>
      <c r="DZ11" s="69"/>
      <c r="EA11" s="69"/>
      <c r="EB11" s="69"/>
      <c r="EC11" s="69"/>
      <c r="ED11" s="69"/>
      <c r="EE11" s="69"/>
      <c r="EF11" s="69"/>
      <c r="EG11" s="69"/>
      <c r="EH11" s="69"/>
      <c r="EI11" s="69"/>
      <c r="EJ11" s="69"/>
      <c r="EK11" s="69"/>
      <c r="EL11" s="69"/>
      <c r="EM11" s="69"/>
      <c r="EN11" s="69"/>
      <c r="EO11" s="69"/>
      <c r="EP11" s="69"/>
      <c r="EQ11" s="69"/>
      <c r="ER11" s="69"/>
      <c r="ES11" s="69"/>
      <c r="ET11" s="69"/>
      <c r="EU11" s="69"/>
      <c r="EV11" s="69"/>
      <c r="EW11" s="69"/>
      <c r="EX11" s="69"/>
      <c r="EY11" s="69"/>
      <c r="EZ11" s="69"/>
      <c r="FA11" s="69"/>
      <c r="FB11" s="69"/>
      <c r="FC11" s="69"/>
      <c r="FD11" s="69"/>
      <c r="FE11" s="69"/>
      <c r="FF11" s="69"/>
      <c r="FG11" s="69"/>
      <c r="FH11" s="69"/>
      <c r="FI11" s="69"/>
      <c r="FJ11" s="69"/>
      <c r="FK11" s="69"/>
      <c r="FL11" s="69"/>
      <c r="FM11" s="69"/>
      <c r="FN11" s="69"/>
      <c r="FO11" s="69"/>
      <c r="FP11" s="69"/>
      <c r="FQ11" s="69"/>
      <c r="FR11" s="69"/>
      <c r="FS11" s="69"/>
      <c r="FT11" s="69"/>
      <c r="FU11" s="69"/>
      <c r="FV11" s="69"/>
      <c r="FW11" s="69"/>
      <c r="FX11" s="69"/>
      <c r="FY11" s="69"/>
      <c r="FZ11" s="69"/>
      <c r="GA11" s="69"/>
      <c r="GB11" s="69"/>
      <c r="GC11" s="69"/>
      <c r="GD11" s="69"/>
      <c r="GE11" s="69"/>
      <c r="GF11" s="69"/>
      <c r="GG11" s="69"/>
      <c r="GH11" s="69"/>
      <c r="GI11" s="69"/>
      <c r="GJ11" s="69"/>
      <c r="GK11" s="69"/>
      <c r="GL11" s="69"/>
      <c r="GM11" s="69"/>
      <c r="GN11" s="69"/>
      <c r="GO11" s="69"/>
      <c r="GP11" s="69"/>
      <c r="GQ11" s="69"/>
      <c r="GR11" s="69"/>
      <c r="GS11" s="69"/>
      <c r="GT11" s="69"/>
      <c r="GU11" s="69"/>
      <c r="GV11" s="69"/>
      <c r="GW11" s="69"/>
      <c r="GX11" s="69"/>
      <c r="GY11" s="69"/>
      <c r="GZ11" s="69"/>
      <c r="HA11" s="69"/>
      <c r="HB11" s="69"/>
      <c r="HC11" s="69"/>
      <c r="HD11" s="69"/>
      <c r="HE11" s="69"/>
      <c r="HF11" s="69"/>
      <c r="HG11" s="69"/>
      <c r="HH11" s="69"/>
      <c r="HI11" s="69"/>
      <c r="HJ11" s="69"/>
      <c r="HK11" s="69"/>
      <c r="HL11" s="69"/>
      <c r="HM11" s="69"/>
      <c r="HN11" s="69"/>
      <c r="HO11" s="69"/>
      <c r="HP11" s="69"/>
      <c r="HQ11" s="69"/>
      <c r="HR11" s="69"/>
      <c r="HS11" s="69"/>
      <c r="HT11" s="69"/>
      <c r="HU11" s="69"/>
      <c r="HV11" s="69"/>
      <c r="HW11" s="69"/>
      <c r="HX11" s="69"/>
      <c r="HY11" s="69"/>
      <c r="HZ11" s="69"/>
      <c r="IA11" s="69"/>
      <c r="IB11" s="69"/>
      <c r="IC11" s="69"/>
      <c r="ID11" s="69"/>
      <c r="IE11" s="69"/>
      <c r="IF11" s="69"/>
      <c r="IG11" s="69"/>
      <c r="IH11" s="69"/>
      <c r="II11" s="69"/>
      <c r="IJ11" s="69"/>
      <c r="IK11" s="69"/>
      <c r="IL11" s="69"/>
      <c r="IM11" s="69"/>
      <c r="IN11" s="69"/>
      <c r="IO11" s="69"/>
      <c r="IP11" s="69"/>
      <c r="IQ11" s="69"/>
      <c r="IR11" s="69"/>
      <c r="IS11" s="69"/>
      <c r="IT11" s="69"/>
      <c r="IU11" s="69"/>
      <c r="IV11" s="69"/>
      <c r="IW11" s="69"/>
      <c r="IX11" s="69"/>
      <c r="IY11" s="69"/>
      <c r="IZ11" s="69"/>
      <c r="JA11" s="69"/>
      <c r="JB11" s="69"/>
      <c r="JC11" s="69"/>
      <c r="JD11" s="69"/>
      <c r="JE11" s="69"/>
      <c r="JF11" s="69"/>
      <c r="JG11" s="69"/>
      <c r="JH11" s="69"/>
      <c r="JI11" s="69"/>
      <c r="JJ11" s="69"/>
      <c r="JK11" s="69"/>
      <c r="JL11" s="69"/>
      <c r="JM11" s="69"/>
      <c r="JN11" s="69"/>
      <c r="JO11" s="69"/>
      <c r="JP11" s="69"/>
      <c r="JQ11" s="69"/>
      <c r="JR11" s="69"/>
    </row>
    <row r="12" spans="1:278" s="68" customFormat="1" ht="23.25" customHeight="1" x14ac:dyDescent="0.2"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/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  <c r="FK12" s="69"/>
      <c r="FL12" s="69"/>
      <c r="FM12" s="69"/>
      <c r="FN12" s="69"/>
      <c r="FO12" s="69"/>
      <c r="FP12" s="69"/>
      <c r="FQ12" s="69"/>
      <c r="FR12" s="69"/>
      <c r="FS12" s="69"/>
      <c r="FT12" s="69"/>
      <c r="FU12" s="69"/>
      <c r="FV12" s="69"/>
      <c r="FW12" s="69"/>
      <c r="FX12" s="69"/>
      <c r="FY12" s="69"/>
      <c r="FZ12" s="69"/>
      <c r="GA12" s="69"/>
      <c r="GB12" s="69"/>
      <c r="GC12" s="69"/>
      <c r="GD12" s="69"/>
      <c r="GE12" s="69"/>
      <c r="GF12" s="69"/>
      <c r="GG12" s="69"/>
      <c r="GH12" s="69"/>
      <c r="GI12" s="69"/>
      <c r="GJ12" s="69"/>
      <c r="GK12" s="69"/>
      <c r="GL12" s="69"/>
      <c r="GM12" s="69"/>
      <c r="GN12" s="69"/>
      <c r="GO12" s="69"/>
      <c r="GP12" s="69"/>
      <c r="GQ12" s="69"/>
      <c r="GR12" s="69"/>
      <c r="GS12" s="69"/>
      <c r="GT12" s="69"/>
      <c r="GU12" s="69"/>
      <c r="GV12" s="69"/>
      <c r="GW12" s="69"/>
      <c r="GX12" s="69"/>
      <c r="GY12" s="69"/>
      <c r="GZ12" s="69"/>
      <c r="HA12" s="69"/>
      <c r="HB12" s="69"/>
      <c r="HC12" s="69"/>
      <c r="HD12" s="69"/>
      <c r="HE12" s="69"/>
      <c r="HF12" s="69"/>
      <c r="HG12" s="69"/>
      <c r="HH12" s="69"/>
      <c r="HI12" s="69"/>
      <c r="HJ12" s="69"/>
      <c r="HK12" s="69"/>
      <c r="HL12" s="69"/>
      <c r="HM12" s="69"/>
      <c r="HN12" s="69"/>
      <c r="HO12" s="69"/>
      <c r="HP12" s="69"/>
      <c r="HQ12" s="69"/>
      <c r="HR12" s="69"/>
      <c r="HS12" s="69"/>
      <c r="HT12" s="69"/>
      <c r="HU12" s="69"/>
      <c r="HV12" s="69"/>
      <c r="HW12" s="69"/>
      <c r="HX12" s="69"/>
      <c r="HY12" s="69"/>
      <c r="HZ12" s="69"/>
      <c r="IA12" s="69"/>
      <c r="IB12" s="69"/>
      <c r="IC12" s="69"/>
      <c r="ID12" s="69"/>
      <c r="IE12" s="69"/>
      <c r="IF12" s="69"/>
      <c r="IG12" s="69"/>
      <c r="IH12" s="69"/>
      <c r="II12" s="69"/>
      <c r="IJ12" s="69"/>
      <c r="IK12" s="69"/>
      <c r="IL12" s="69"/>
      <c r="IM12" s="69"/>
      <c r="IN12" s="69"/>
      <c r="IO12" s="69"/>
      <c r="IP12" s="69"/>
      <c r="IQ12" s="69"/>
      <c r="IR12" s="69"/>
      <c r="IS12" s="69"/>
      <c r="IT12" s="69"/>
      <c r="IU12" s="69"/>
      <c r="IV12" s="69"/>
      <c r="IW12" s="69"/>
      <c r="IX12" s="69"/>
      <c r="IY12" s="69"/>
      <c r="IZ12" s="69"/>
      <c r="JA12" s="69"/>
      <c r="JB12" s="69"/>
      <c r="JC12" s="69"/>
      <c r="JD12" s="69"/>
      <c r="JE12" s="69"/>
      <c r="JF12" s="69"/>
      <c r="JG12" s="69"/>
      <c r="JH12" s="69"/>
      <c r="JI12" s="69"/>
      <c r="JJ12" s="69"/>
      <c r="JK12" s="69"/>
      <c r="JL12" s="69"/>
      <c r="JM12" s="69"/>
      <c r="JN12" s="69"/>
      <c r="JO12" s="69"/>
      <c r="JP12" s="69"/>
      <c r="JQ12" s="69"/>
      <c r="JR12" s="69"/>
    </row>
    <row r="13" spans="1:278" ht="18.75" customHeight="1" x14ac:dyDescent="0.25">
      <c r="A13" s="43"/>
      <c r="B13" s="108" t="s">
        <v>24</v>
      </c>
      <c r="C13" s="109"/>
      <c r="D13" s="109"/>
      <c r="E13" s="109"/>
      <c r="F13" s="110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</row>
    <row r="14" spans="1:278" ht="23.25" customHeight="1" x14ac:dyDescent="0.2">
      <c r="B14" s="41" t="s">
        <v>25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</row>
    <row r="15" spans="1:278" ht="23.25" customHeight="1" x14ac:dyDescent="0.2">
      <c r="B15" s="41" t="s">
        <v>46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</row>
    <row r="16" spans="1:278" ht="15.75" customHeight="1" x14ac:dyDescent="0.2"/>
    <row r="17" spans="4:4" ht="15.75" customHeight="1" x14ac:dyDescent="0.2">
      <c r="D17" s="11"/>
    </row>
    <row r="18" spans="4:4" ht="15.75" customHeight="1" x14ac:dyDescent="0.2"/>
    <row r="19" spans="4:4" ht="15.75" customHeight="1" x14ac:dyDescent="0.2"/>
    <row r="20" spans="4:4" ht="15.75" customHeight="1" x14ac:dyDescent="0.2"/>
    <row r="21" spans="4:4" ht="15.75" customHeight="1" x14ac:dyDescent="0.2"/>
    <row r="22" spans="4:4" ht="15.75" customHeight="1" x14ac:dyDescent="0.2"/>
    <row r="23" spans="4:4" ht="15.75" customHeight="1" x14ac:dyDescent="0.2"/>
    <row r="24" spans="4:4" ht="15.75" customHeight="1" x14ac:dyDescent="0.2"/>
    <row r="25" spans="4:4" ht="15.75" customHeight="1" x14ac:dyDescent="0.2"/>
    <row r="26" spans="4:4" ht="15.75" customHeight="1" x14ac:dyDescent="0.2"/>
    <row r="27" spans="4:4" ht="15.75" customHeight="1" x14ac:dyDescent="0.2"/>
    <row r="28" spans="4:4" ht="15.75" customHeight="1" x14ac:dyDescent="0.2"/>
    <row r="29" spans="4:4" ht="15.75" customHeight="1" x14ac:dyDescent="0.2"/>
    <row r="30" spans="4:4" ht="15.75" customHeight="1" x14ac:dyDescent="0.2"/>
    <row r="31" spans="4:4" ht="15.75" customHeight="1" x14ac:dyDescent="0.2"/>
    <row r="32" spans="4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</sheetData>
  <mergeCells count="6">
    <mergeCell ref="C1:E1"/>
    <mergeCell ref="B3:D3"/>
    <mergeCell ref="B4:D4"/>
    <mergeCell ref="B8:F8"/>
    <mergeCell ref="B13:F13"/>
    <mergeCell ref="B5:D5"/>
  </mergeCells>
  <pageMargins left="0.59055118110236227" right="0.31496062992125984" top="0.74803149606299213" bottom="0.35433070866141736" header="0" footer="0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Hoja1</vt:lpstr>
      <vt:lpstr>lista de precios 824</vt:lpstr>
      <vt:lpstr>COTIZ. ANTENA NOVATEL</vt:lpstr>
      <vt:lpstr>COTIZ. ANTENA RTK</vt:lpstr>
      <vt:lpstr>'COTIZ. ANTENA NOVATEL'!Área_de_impresión</vt:lpstr>
      <vt:lpstr>'COTIZ. ANTENA RTK'!Área_de_impresión</vt:lpstr>
      <vt:lpstr>'lista de precios 824'!Área_de_impresión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Carlos Iruretagoyena</cp:lastModifiedBy>
  <cp:lastPrinted>2025-02-21T13:41:27Z</cp:lastPrinted>
  <dcterms:created xsi:type="dcterms:W3CDTF">2018-08-08T17:19:31Z</dcterms:created>
  <dcterms:modified xsi:type="dcterms:W3CDTF">2025-03-08T22:09:11Z</dcterms:modified>
</cp:coreProperties>
</file>